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ANJANA\DATA ANALYTICS\MAVEN\PROJECTS\EXCEL\Manufacturing+Downtime\"/>
    </mc:Choice>
  </mc:AlternateContent>
  <xr:revisionPtr revIDLastSave="0" documentId="13_ncr:1_{C4F6CE24-F50A-43FA-9169-401933393796}" xr6:coauthVersionLast="47" xr6:coauthVersionMax="47" xr10:uidLastSave="{00000000-0000-0000-0000-000000000000}"/>
  <bookViews>
    <workbookView xWindow="-120" yWindow="-120" windowWidth="38640" windowHeight="21120" activeTab="1" xr2:uid="{8FF62ED8-A67E-423F-8325-F23DB684777C}"/>
  </bookViews>
  <sheets>
    <sheet name="Line productivity" sheetId="1" r:id="rId1"/>
    <sheet name="Dashboard" sheetId="9" r:id="rId2"/>
    <sheet name="Products" sheetId="8" r:id="rId3"/>
    <sheet name="Downtime factors" sheetId="3" r:id="rId4"/>
    <sheet name="Line downtime" sheetId="2" r:id="rId5"/>
  </sheets>
  <definedNames>
    <definedName name="_xlnm._FilterDatabase" localSheetId="3" hidden="1">'Downtime factors'!$A$1:$E$13</definedName>
    <definedName name="_xlnm._FilterDatabase" localSheetId="0" hidden="1">'Line productivity'!$A$1:$F$39</definedName>
  </definedName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40" i="9" l="1"/>
  <c r="D40" i="9"/>
  <c r="E40" i="9"/>
  <c r="F40" i="9"/>
  <c r="G40" i="9"/>
  <c r="C41" i="9"/>
  <c r="D41" i="9"/>
  <c r="E41" i="9"/>
  <c r="F41" i="9"/>
  <c r="G41" i="9"/>
  <c r="C42" i="9"/>
  <c r="D42" i="9"/>
  <c r="E42" i="9"/>
  <c r="F42" i="9"/>
  <c r="G42" i="9"/>
  <c r="D39" i="9"/>
  <c r="E39" i="9"/>
  <c r="F39" i="9"/>
  <c r="G39" i="9"/>
  <c r="C39" i="9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3" i="2"/>
  <c r="D2" i="3"/>
  <c r="D5" i="3"/>
  <c r="D10" i="3"/>
  <c r="D4" i="3"/>
  <c r="D8" i="3"/>
  <c r="D3" i="3"/>
  <c r="D6" i="3"/>
  <c r="D12" i="3"/>
  <c r="D9" i="3"/>
  <c r="D11" i="3"/>
  <c r="D7" i="3"/>
  <c r="D13" i="3"/>
  <c r="E3" i="3" s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2" i="1"/>
  <c r="E2" i="3" l="1"/>
  <c r="E12" i="3"/>
  <c r="E9" i="3"/>
  <c r="E5" i="3"/>
  <c r="E4" i="3"/>
  <c r="E13" i="3"/>
  <c r="E11" i="3"/>
  <c r="E10" i="3"/>
  <c r="E8" i="3"/>
  <c r="E7" i="3"/>
  <c r="E6" i="3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<sst xmlns="http://schemas.openxmlformats.org/spreadsheetml/2006/main" count="153" uniqueCount="51">
  <si>
    <t>Date</t>
  </si>
  <si>
    <t>Product</t>
  </si>
  <si>
    <t>Batch</t>
  </si>
  <si>
    <t>Operator</t>
  </si>
  <si>
    <t>Start Time</t>
  </si>
  <si>
    <t>End Time</t>
  </si>
  <si>
    <t>Factor</t>
  </si>
  <si>
    <t>Operator Error</t>
  </si>
  <si>
    <t>Batch change</t>
  </si>
  <si>
    <t>Machine adjustment</t>
  </si>
  <si>
    <t>Product spill</t>
  </si>
  <si>
    <t>Label switch</t>
  </si>
  <si>
    <t>Machine failure</t>
  </si>
  <si>
    <t>Batch coding error</t>
  </si>
  <si>
    <t>Inventory shortage</t>
  </si>
  <si>
    <t>Conveyor belt jam</t>
  </si>
  <si>
    <t>Other</t>
  </si>
  <si>
    <t>Emergency stop</t>
  </si>
  <si>
    <t>Calibration error</t>
  </si>
  <si>
    <t>Labeling error</t>
  </si>
  <si>
    <t>No</t>
  </si>
  <si>
    <t>Yes</t>
  </si>
  <si>
    <t>Description</t>
  </si>
  <si>
    <t>Downtime factor</t>
  </si>
  <si>
    <t>OR-600</t>
  </si>
  <si>
    <t>LE-600</t>
  </si>
  <si>
    <t>CO-600</t>
  </si>
  <si>
    <t>DC-600</t>
  </si>
  <si>
    <t>RB-600</t>
  </si>
  <si>
    <t>CO-2L</t>
  </si>
  <si>
    <t>Flavor</t>
  </si>
  <si>
    <t>Size</t>
  </si>
  <si>
    <t>Orange</t>
  </si>
  <si>
    <t>Lemon lime</t>
  </si>
  <si>
    <t>Cola</t>
  </si>
  <si>
    <t>Diet Cola</t>
  </si>
  <si>
    <t>Root Beer</t>
  </si>
  <si>
    <t>2 L</t>
  </si>
  <si>
    <t>600 ml</t>
  </si>
  <si>
    <t>Min batch time</t>
  </si>
  <si>
    <t>Charlie</t>
  </si>
  <si>
    <t>Dee</t>
  </si>
  <si>
    <t>Dennis</t>
  </si>
  <si>
    <t>Mac</t>
  </si>
  <si>
    <t>Batch Time</t>
  </si>
  <si>
    <t>Min Batch Time</t>
  </si>
  <si>
    <t>Sum of efficiency</t>
  </si>
  <si>
    <t>Row Labels</t>
  </si>
  <si>
    <t>DownTime</t>
  </si>
  <si>
    <t>Pareto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</si>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</sst>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4">
    <xf numFmtId="0" fontId="0" fillId="0" borderId="0" xfId="0"/>
    <xf numFmtId="164" fontId="0" fillId="0" borderId="0" xfId="0" applyNumberFormat="1"/>
    <xf numFmtId="0" fontId="1" fillId="2" borderId="0" xfId="0" applyFont="1" applyFill="1"/>
    <xf numFmtId="21" fontId="0" fillId="0" borderId="0" xfId="0" applyNumberFormat="1"/>
    <xf numFmtId="0" fontId="1" fillId="2" borderId="0" xfId="0" applyFont="1" applyFill="1" applyAlignment="1">
      <alignment horizontal="center"/>
    </xf>
    <xf numFmtId="0" fontId="0" fillId="0" borderId="0" xfId="0" applyNumberFormat="1"/>
    <xf numFmtId="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1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23/09/relationships/Python" Target="pyth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[Manufacturing_Line_Productivity.xlsx]Line productivity!PivotTable1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'Line productivity'!$M$3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A58-4DBB-9472-1DDC5B9E418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'Line productivity'!$L$4:$L$7</c:f>
              <c:strCache>
                <c:ptCount val="4"/>
                <c:pt idx="0">
                  <c:v>Charlie</c:v>
                </c:pt>
                <c:pt idx="1">
                  <c:v>Dee</c:v>
                </c:pt>
                <c:pt idx="2">
                  <c:v>Dennis</c:v>
                </c:pt>
                <c:pt idx="3">
                  <c:v>Mac</c:v>
                </c:pt>
              </c:strCache>
            </c:strRef>
          </c:cat>
          <c:val>
            <c:numRef>
              <c:f>'Line productivity'!$M$4:$M$7</c:f>
              <c:numCache>
                <c:formatCode>0%</c:formatCode>
                <c:ptCount val="4"/>
                <c:pt idx="0">
                  <c:v>0.66839378238341973</c:v>
                </c:pt>
                <c:pt idx="1">
                  <c:v>0.64077669902912626</c:v>
                </c:pt>
                <c:pt idx="2">
                  <c:v>0.63170731707317074</c:v>
                </c:pt>
                <c:pt idx="3">
                  <c:v>0.60941176470588243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58-4DBB-9472-1DDC5B9E41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71"/>
        <c:axId val="1502396736"/>
        <c:axId val="1502399616"/>
      </c:barChart>
      <c:catAx>
        <c:axId val="15023967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399616"/>
        <c:crosses val="autoZero"/>
        <c:auto val="1"/>
        <c:lblAlgn val="ctr"/>
        <c:lblOffset val="100"/>
        <c:noMultiLvlLbl val="0"/>
      </c:catAx>
      <c:valAx>
        <c:axId val="1502399616"/>
        <c:scaling>
          <c:orientation val="minMax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150239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'Downtime factors'!$D$1</c:f>
              <c:strCache>
                <c:ptCount val="1"/>
                <c:pt idx="0">
                  <c:v>DownTime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0DEB-4E39-B863-E370EF7EAADD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DEB-4E39-B863-E370EF7EAADD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0DEB-4E39-B863-E370EF7EAADD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0DEB-4E39-B863-E370EF7EAADD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0DEB-4E39-B863-E370EF7EAADD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0DEB-4E39-B863-E370EF7EAADD}"/>
              </c:ext>
            </c:extLst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0DEB-4E39-B863-E370EF7EAADD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EB-4E39-B863-E370EF7EAADD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EB-4E39-B863-E370EF7EAADD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EB-4E39-B863-E370EF7EAADD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DEB-4E39-B863-E370EF7EAADD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0DEB-4E39-B863-E370EF7EAADD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EB-4E39-B863-E370EF7EAA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factors'!$D$2:$D$13</c:f>
              <c:numCache>
                <c:formatCode>General</c:formatCode>
                <c:ptCount val="12"/>
                <c:pt idx="0">
                  <c:v>332</c:v>
                </c:pt>
                <c:pt idx="1">
                  <c:v>254</c:v>
                </c:pt>
                <c:pt idx="2">
                  <c:v>225</c:v>
                </c:pt>
                <c:pt idx="3">
                  <c:v>160</c:v>
                </c:pt>
                <c:pt idx="4">
                  <c:v>145</c:v>
                </c:pt>
                <c:pt idx="5">
                  <c:v>74</c:v>
                </c:pt>
                <c:pt idx="6">
                  <c:v>57</c:v>
                </c:pt>
                <c:pt idx="7">
                  <c:v>49</c:v>
                </c:pt>
                <c:pt idx="8">
                  <c:v>42</c:v>
                </c:pt>
                <c:pt idx="9">
                  <c:v>33</c:v>
                </c:pt>
                <c:pt idx="10">
                  <c:v>17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EB-4E39-B863-E370EF7EA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500914064"/>
        <c:axId val="1500915504"/>
      </c:barChart>
      <c:lineChart>
        <c:grouping val="standard"/>
        <c:varyColors val="0"/>
        <c:ser>
          <c:idx val="1"/>
          <c:order val="1"/>
          <c:tx>
            <c:strRef>
              <c:f>'Downtime factors'!$E$1</c:f>
              <c:strCache>
                <c:ptCount val="1"/>
                <c:pt idx="0">
                  <c:v>Pareto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Pt>
            <c:idx val="4"/>
            <c:marker>
              <c:symbol val="circle"/>
              <c:size val="7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0DEB-4E39-B863-E370EF7EAADD}"/>
              </c:ext>
            </c:extLst>
          </c:dPt>
          <c:dLbls>
            <c:dLbl>
              <c:idx val="4"/>
              <c:dLblPos val="t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EB-4E39-B863-E370EF7EAA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factors'!$B$2:$B$13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factors'!$E$2:$E$13</c:f>
              <c:numCache>
                <c:formatCode>0%</c:formatCode>
                <c:ptCount val="12"/>
                <c:pt idx="0">
                  <c:v>0.23919308357348704</c:v>
                </c:pt>
                <c:pt idx="1">
                  <c:v>0.42219020172910665</c:v>
                </c:pt>
                <c:pt idx="2">
                  <c:v>0.58429394812680113</c:v>
                </c:pt>
                <c:pt idx="3">
                  <c:v>0.69956772334293948</c:v>
                </c:pt>
                <c:pt idx="4">
                  <c:v>0.80403458213256485</c:v>
                </c:pt>
                <c:pt idx="5">
                  <c:v>0.85734870317002887</c:v>
                </c:pt>
                <c:pt idx="6">
                  <c:v>0.89841498559077815</c:v>
                </c:pt>
                <c:pt idx="7">
                  <c:v>0.93371757925072041</c:v>
                </c:pt>
                <c:pt idx="8">
                  <c:v>0.96397694524495681</c:v>
                </c:pt>
                <c:pt idx="9">
                  <c:v>0.98775216138328525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EB-4E39-B863-E370EF7EAA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02380416"/>
        <c:axId val="1502387136"/>
      </c:lineChart>
      <c:catAx>
        <c:axId val="1500914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915504"/>
        <c:crosses val="autoZero"/>
        <c:auto val="1"/>
        <c:lblAlgn val="ctr"/>
        <c:lblOffset val="100"/>
        <c:noMultiLvlLbl val="0"/>
      </c:catAx>
      <c:valAx>
        <c:axId val="15009155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Down</a:t>
                </a:r>
                <a:r>
                  <a:rPr lang="en-IN" baseline="0"/>
                  <a:t> Time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0914064"/>
        <c:crosses val="autoZero"/>
        <c:crossBetween val="between"/>
      </c:valAx>
      <c:valAx>
        <c:axId val="1502387136"/>
        <c:scaling>
          <c:orientation val="minMax"/>
        </c:scaling>
        <c:delete val="0"/>
        <c:axPos val="r"/>
        <c:numFmt formatCode="0%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2380416"/>
        <c:crosses val="max"/>
        <c:crossBetween val="between"/>
      </c:valAx>
      <c:catAx>
        <c:axId val="1502380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023871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276224</xdr:colOff>
      <xdr:row>7</xdr:row>
      <xdr:rowOff>114299</xdr:rowOff>
    </xdr:from>
    <xdr:to>
      <xdr:col>5</xdr:col>
      <xdr:colOff>76199</xdr:colOff>
      <xdr:row>27</xdr:row>
      <xdr:rowOff>104774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F7A3FF-8E75-4B7C-BA47-31D50AA2AF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247650</xdr:colOff>
      <xdr:row>2</xdr:row>
      <xdr:rowOff>104775</xdr:rowOff>
    </xdr:from>
    <xdr:to>
      <xdr:col>5</xdr:col>
      <xdr:colOff>66675</xdr:colOff>
      <xdr:row>7</xdr:row>
      <xdr:rowOff>85725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5CD56F5-22BC-F448-BB2F-B8902D617D03}"/>
            </a:ext>
          </a:extLst>
        </xdr:cNvPr>
        <xdr:cNvSpPr txBox="1"/>
      </xdr:nvSpPr>
      <xdr:spPr>
        <a:xfrm>
          <a:off x="247650" y="485775"/>
          <a:ext cx="6219825" cy="9334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chemeClr val="tx2">
                  <a:lumMod val="75000"/>
                  <a:lumOff val="2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OVERALL LINE EFFICIENCY</a:t>
          </a:r>
          <a:r>
            <a:rPr lang="en-IN" sz="2000" b="1" baseline="0">
              <a:solidFill>
                <a:schemeClr val="tx2">
                  <a:lumMod val="75000"/>
                  <a:lumOff val="2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 SITS AT 64%</a:t>
          </a:r>
        </a:p>
        <a:p>
          <a:r>
            <a:rPr lang="en-IN" sz="1800" baseline="0">
              <a:latin typeface="Segoe UI" panose="020B0502040204020203" pitchFamily="34" charset="0"/>
              <a:cs typeface="Segoe UI" panose="020B0502040204020203" pitchFamily="34" charset="0"/>
            </a:rPr>
            <a:t>We should Place Special Focus on Mac</a:t>
          </a:r>
          <a:endParaRPr lang="en-IN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5</xdr:col>
      <xdr:colOff>828676</xdr:colOff>
      <xdr:row>7</xdr:row>
      <xdr:rowOff>142875</xdr:rowOff>
    </xdr:from>
    <xdr:to>
      <xdr:col>13</xdr:col>
      <xdr:colOff>571501</xdr:colOff>
      <xdr:row>27</xdr:row>
      <xdr:rowOff>161925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4E6B0E3-E5A0-456B-A7BE-62ED26F74E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5</xdr:col>
      <xdr:colOff>752475</xdr:colOff>
      <xdr:row>2</xdr:row>
      <xdr:rowOff>104775</xdr:rowOff>
    </xdr:from>
    <xdr:to>
      <xdr:col>13</xdr:col>
      <xdr:colOff>561976</xdr:colOff>
      <xdr:row>8</xdr:row>
      <xdr:rowOff>9525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FF3404B-ADDC-83BE-163F-82795A046EDB}"/>
            </a:ext>
          </a:extLst>
        </xdr:cNvPr>
        <xdr:cNvSpPr txBox="1"/>
      </xdr:nvSpPr>
      <xdr:spPr>
        <a:xfrm>
          <a:off x="7153275" y="485775"/>
          <a:ext cx="6943726" cy="10477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 baseline="0">
              <a:solidFill>
                <a:schemeClr val="tx2">
                  <a:lumMod val="75000"/>
                  <a:lumOff val="2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TOP 5 FACTORS ACCOUNTS 80% OF DOWNTIME</a:t>
          </a:r>
        </a:p>
        <a:p>
          <a:r>
            <a:rPr lang="en-IN" sz="1800" baseline="0">
              <a:latin typeface="Segoe UI" panose="020B0502040204020203" pitchFamily="34" charset="0"/>
              <a:cs typeface="Segoe UI" panose="020B0502040204020203" pitchFamily="34" charset="0"/>
            </a:rPr>
            <a:t>We should ignore the rest and Prioritize these</a:t>
          </a:r>
          <a:endParaRPr lang="en-IN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 editAs="absolute">
    <xdr:from>
      <xdr:col>0</xdr:col>
      <xdr:colOff>381000</xdr:colOff>
      <xdr:row>29</xdr:row>
      <xdr:rowOff>104775</xdr:rowOff>
    </xdr:from>
    <xdr:to>
      <xdr:col>6</xdr:col>
      <xdr:colOff>1438275</xdr:colOff>
      <xdr:row>35</xdr:row>
      <xdr:rowOff>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6C2FB1F-C093-D3EE-49F9-1F9EC8435676}"/>
            </a:ext>
          </a:extLst>
        </xdr:cNvPr>
        <xdr:cNvSpPr txBox="1"/>
      </xdr:nvSpPr>
      <xdr:spPr>
        <a:xfrm>
          <a:off x="381000" y="5629275"/>
          <a:ext cx="9001125" cy="10382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 baseline="0">
              <a:solidFill>
                <a:schemeClr val="tx2">
                  <a:lumMod val="75000"/>
                  <a:lumOff val="25000"/>
                </a:schemeClr>
              </a:solidFill>
              <a:latin typeface="Segoe UI" panose="020B0502040204020203" pitchFamily="34" charset="0"/>
              <a:cs typeface="Segoe UI" panose="020B0502040204020203" pitchFamily="34" charset="0"/>
            </a:rPr>
            <a:t>3 OF THE 5 MAIN DOWNTIME ERRORS ARE OPERATOR ERROR</a:t>
          </a:r>
        </a:p>
        <a:p>
          <a:r>
            <a:rPr lang="en-IN" sz="1800">
              <a:latin typeface="Segoe UI" panose="020B0502040204020203" pitchFamily="34" charset="0"/>
              <a:cs typeface="Segoe UI" panose="020B0502040204020203" pitchFamily="34" charset="0"/>
            </a:rPr>
            <a:t>We</a:t>
          </a:r>
          <a:r>
            <a:rPr lang="en-IN" sz="1800" baseline="0">
              <a:latin typeface="Segoe UI" panose="020B0502040204020203" pitchFamily="34" charset="0"/>
              <a:cs typeface="Segoe UI" panose="020B0502040204020203" pitchFamily="34" charset="0"/>
            </a:rPr>
            <a:t> should provide Machine adjustment training for all operators and Batch change training for Mac</a:t>
          </a:r>
          <a:endParaRPr lang="en-IN" sz="18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5</xdr:col>
      <xdr:colOff>28575</xdr:colOff>
      <xdr:row>40</xdr:row>
      <xdr:rowOff>323849</xdr:rowOff>
    </xdr:from>
    <xdr:to>
      <xdr:col>6</xdr:col>
      <xdr:colOff>28574</xdr:colOff>
      <xdr:row>42</xdr:row>
      <xdr:rowOff>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B6E763C-3725-AD32-5AD9-03A54A11E09F}"/>
            </a:ext>
          </a:extLst>
        </xdr:cNvPr>
        <xdr:cNvSpPr/>
      </xdr:nvSpPr>
      <xdr:spPr>
        <a:xfrm>
          <a:off x="6429375" y="8210549"/>
          <a:ext cx="1543049" cy="361951"/>
        </a:xfrm>
        <a:prstGeom prst="rect">
          <a:avLst/>
        </a:prstGeom>
        <a:noFill/>
        <a:ln w="38100">
          <a:solidFill>
            <a:schemeClr val="accent2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1152526</xdr:colOff>
      <xdr:row>37</xdr:row>
      <xdr:rowOff>333376</xdr:rowOff>
    </xdr:from>
    <xdr:to>
      <xdr:col>3</xdr:col>
      <xdr:colOff>9526</xdr:colOff>
      <xdr:row>41</xdr:row>
      <xdr:rowOff>9526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01D074B7-1E05-BAA4-C4C1-428FD903ABB5}"/>
            </a:ext>
          </a:extLst>
        </xdr:cNvPr>
        <xdr:cNvSpPr/>
      </xdr:nvSpPr>
      <xdr:spPr>
        <a:xfrm>
          <a:off x="1762126" y="7191376"/>
          <a:ext cx="1562100" cy="1047750"/>
        </a:xfrm>
        <a:prstGeom prst="rect">
          <a:avLst/>
        </a:prstGeom>
        <a:noFill/>
        <a:ln w="38100">
          <a:solidFill>
            <a:schemeClr val="accent2"/>
          </a:solidFill>
          <a:prstDash val="sys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57150</xdr:colOff>
      <xdr:row>29</xdr:row>
      <xdr:rowOff>66674</xdr:rowOff>
    </xdr:from>
    <xdr:to>
      <xdr:col>12</xdr:col>
      <xdr:colOff>266700</xdr:colOff>
      <xdr:row>46</xdr:row>
      <xdr:rowOff>161925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EA254FB-121E-404B-5075-369B10284A82}"/>
            </a:ext>
          </a:extLst>
        </xdr:cNvPr>
        <xdr:cNvSpPr txBox="1"/>
      </xdr:nvSpPr>
      <xdr:spPr>
        <a:xfrm>
          <a:off x="9544050" y="5591174"/>
          <a:ext cx="3648075" cy="3905251"/>
        </a:xfrm>
        <a:prstGeom prst="rect">
          <a:avLst/>
        </a:prstGeom>
        <a:solidFill>
          <a:schemeClr val="lt1"/>
        </a:solidFill>
        <a:ln w="19050" cmpd="sng">
          <a:solidFill>
            <a:schemeClr val="accent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/>
            <a:t>Recommendations</a:t>
          </a:r>
        </a:p>
        <a:p>
          <a:endParaRPr lang="en-IN" sz="1100"/>
        </a:p>
        <a:p>
          <a:r>
            <a:rPr lang="en-IN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Provide provide Machine adjustment training for all operators  </a:t>
          </a:r>
        </a:p>
        <a:p>
          <a:endParaRPr lang="en-IN" sz="18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Batch change training for Mac and give special focus </a:t>
          </a:r>
        </a:p>
        <a:p>
          <a:endParaRPr lang="en-IN" sz="180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8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Focus on machine maintanance and Check on inventory levels</a:t>
          </a:r>
          <a:endParaRPr lang="en-IN" sz="18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jana V" refreshedDate="46034.760802083336" createdVersion="8" refreshedVersion="8" minRefreshableVersion="3" recordCount="38" xr:uid="{796C736A-D32D-4930-908F-29EACFF818AB}">
  <cacheSource type="worksheet">
    <worksheetSource ref="A1:H39" sheet="Line productivity"/>
  </cacheSource>
  <cacheFields count="9">
    <cacheField name="Date" numFmtId="164">
      <sharedItems containsSemiMixedTypes="0" containsNonDate="0" containsDate="1" containsString="0" minDate="2024-08-29T00:00:00" maxDate="2024-09-04T00:00:00"/>
    </cacheField>
    <cacheField name="Product" numFmtId="0">
      <sharedItems/>
    </cacheField>
    <cacheField name="Batch" numFmtId="0">
      <sharedItems containsSemiMixedTypes="0" containsString="0" containsNumber="1" containsInteger="1" minValue="422111" maxValue="422148"/>
    </cacheField>
    <cacheField name="Operator" numFmtId="0">
      <sharedItems count="4">
        <s v="Mac"/>
        <s v="Charlie"/>
        <s v="Dee"/>
        <s v="Dennis"/>
      </sharedItems>
    </cacheField>
    <cacheField name="Start Time" numFmtId="21">
      <sharedItems containsSemiMixedTypes="0" containsNonDate="0" containsDate="1" containsString="0" minDate="1899-12-30T01:00:00" maxDate="1899-12-30T22:55:00"/>
    </cacheField>
    <cacheField name="End Time" numFmtId="21">
      <sharedItems containsSemiMixedTypes="0" containsNonDate="0" containsDate="1" containsString="0" minDate="1899-12-30T02:45:00" maxDate="1899-12-31T01:05:00"/>
    </cacheField>
    <cacheField name="Batch Time" numFmtId="0">
      <sharedItems containsSemiMixedTypes="0" containsString="0" containsNumber="1" minValue="59.999999999999943" maxValue="205.00000000000006"/>
    </cacheField>
    <cacheField name="Min Batch Time" numFmtId="0">
      <sharedItems containsSemiMixedTypes="0" containsString="0" containsNumber="1" containsInteger="1" minValue="60" maxValue="98"/>
    </cacheField>
    <cacheField name="efficiency" numFmtId="0" formula="'Min Batch Time' /'Batch Time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4-08-29T00:00:00"/>
    <s v="OR-600"/>
    <n v="422111"/>
    <x v="0"/>
    <d v="1899-12-30T11:50:00"/>
    <d v="1899-12-30T14:05:00"/>
    <n v="135"/>
    <n v="60"/>
  </r>
  <r>
    <d v="2024-08-29T00:00:00"/>
    <s v="LE-600"/>
    <n v="422112"/>
    <x v="0"/>
    <d v="1899-12-30T14:05:00"/>
    <d v="1899-12-30T15:45:00"/>
    <n v="99.999999999999972"/>
    <n v="60"/>
  </r>
  <r>
    <d v="2024-08-29T00:00:00"/>
    <s v="LE-600"/>
    <n v="422113"/>
    <x v="0"/>
    <d v="1899-12-30T15:45:00"/>
    <d v="1899-12-30T17:35:00"/>
    <n v="109.99999999999993"/>
    <n v="60"/>
  </r>
  <r>
    <d v="2024-08-29T00:00:00"/>
    <s v="LE-600"/>
    <n v="422114"/>
    <x v="0"/>
    <d v="1899-12-30T17:35:00"/>
    <d v="1899-12-30T19:15:00"/>
    <n v="99.999999999999972"/>
    <n v="60"/>
  </r>
  <r>
    <d v="2024-08-29T00:00:00"/>
    <s v="LE-600"/>
    <n v="422115"/>
    <x v="1"/>
    <d v="1899-12-30T19:15:00"/>
    <d v="1899-12-30T20:39:00"/>
    <n v="84.000000000000028"/>
    <n v="60"/>
  </r>
  <r>
    <d v="2024-08-29T00:00:00"/>
    <s v="LE-600"/>
    <n v="422116"/>
    <x v="1"/>
    <d v="1899-12-30T20:39:00"/>
    <d v="1899-12-30T21:39:00"/>
    <n v="59.999999999999943"/>
    <n v="60"/>
  </r>
  <r>
    <d v="2024-08-29T00:00:00"/>
    <s v="LE-600"/>
    <n v="422117"/>
    <x v="1"/>
    <d v="1899-12-30T21:39:00"/>
    <d v="1899-12-30T22:54:00"/>
    <n v="75.000000000000057"/>
    <n v="60"/>
  </r>
  <r>
    <d v="2024-08-30T00:00:00"/>
    <s v="CO-600"/>
    <n v="422118"/>
    <x v="2"/>
    <d v="1899-12-30T04:05:00"/>
    <d v="1899-12-30T06:05:00"/>
    <n v="119.99999999999997"/>
    <n v="60"/>
  </r>
  <r>
    <d v="2024-08-30T00:00:00"/>
    <s v="CO-600"/>
    <n v="422119"/>
    <x v="2"/>
    <d v="1899-12-30T06:05:00"/>
    <d v="1899-12-30T07:30:00"/>
    <n v="85.000000000000014"/>
    <n v="60"/>
  </r>
  <r>
    <d v="2024-08-30T00:00:00"/>
    <s v="CO-600"/>
    <n v="422120"/>
    <x v="2"/>
    <d v="1899-12-30T07:30:00"/>
    <d v="1899-12-30T09:22:00"/>
    <n v="112"/>
    <n v="60"/>
  </r>
  <r>
    <d v="2024-08-30T00:00:00"/>
    <s v="CO-600"/>
    <n v="422121"/>
    <x v="3"/>
    <d v="1899-12-30T09:22:00"/>
    <d v="1899-12-30T10:37:00"/>
    <n v="74.999999999999972"/>
    <n v="60"/>
  </r>
  <r>
    <d v="2024-08-30T00:00:00"/>
    <s v="CO-600"/>
    <n v="422122"/>
    <x v="3"/>
    <d v="1899-12-30T10:37:00"/>
    <d v="1899-12-30T12:02:00"/>
    <n v="85.000000000000014"/>
    <n v="60"/>
  </r>
  <r>
    <d v="2024-08-30T00:00:00"/>
    <s v="CO-600"/>
    <n v="422123"/>
    <x v="3"/>
    <d v="1899-12-30T12:02:00"/>
    <d v="1899-12-30T14:15:00"/>
    <n v="133"/>
    <n v="60"/>
  </r>
  <r>
    <d v="2024-08-30T00:00:00"/>
    <s v="CO-600"/>
    <n v="422124"/>
    <x v="3"/>
    <d v="1899-12-30T14:15:00"/>
    <d v="1899-12-30T15:55:00"/>
    <n v="99.999999999999972"/>
    <n v="60"/>
  </r>
  <r>
    <d v="2024-08-30T00:00:00"/>
    <s v="CO-600"/>
    <n v="422125"/>
    <x v="1"/>
    <d v="1899-12-30T15:55:00"/>
    <d v="1899-12-30T17:15:00"/>
    <n v="80.000000000000028"/>
    <n v="60"/>
  </r>
  <r>
    <d v="2024-08-30T00:00:00"/>
    <s v="CO-600"/>
    <n v="422126"/>
    <x v="1"/>
    <d v="1899-12-30T17:15:00"/>
    <d v="1899-12-30T18:59:00"/>
    <n v="103.99999999999994"/>
    <n v="60"/>
  </r>
  <r>
    <d v="2024-08-30T00:00:00"/>
    <s v="CO-600"/>
    <n v="422127"/>
    <x v="1"/>
    <d v="1899-12-30T18:59:00"/>
    <d v="1899-12-30T20:22:00"/>
    <n v="83.000000000000028"/>
    <n v="60"/>
  </r>
  <r>
    <d v="2024-08-30T00:00:00"/>
    <s v="CO-600"/>
    <n v="422128"/>
    <x v="1"/>
    <d v="1899-12-30T20:22:00"/>
    <d v="1899-12-30T22:14:00"/>
    <n v="112.00000000000009"/>
    <n v="60"/>
  </r>
  <r>
    <d v="2024-08-30T00:00:00"/>
    <s v="CO-600"/>
    <n v="422129"/>
    <x v="1"/>
    <d v="1899-12-30T22:14:00"/>
    <d v="1899-12-30T23:29:00"/>
    <n v="74.999999999999886"/>
    <n v="60"/>
  </r>
  <r>
    <d v="2024-08-31T00:00:00"/>
    <s v="CO-600"/>
    <n v="422130"/>
    <x v="2"/>
    <d v="1899-12-30T07:45:00"/>
    <d v="1899-12-30T09:05:00"/>
    <n v="79.999999999999957"/>
    <n v="60"/>
  </r>
  <r>
    <d v="2024-08-31T00:00:00"/>
    <s v="CO-600"/>
    <n v="422131"/>
    <x v="2"/>
    <d v="1899-12-30T09:05:00"/>
    <d v="1899-12-30T10:35:00"/>
    <n v="90"/>
    <n v="60"/>
  </r>
  <r>
    <d v="2024-08-31T00:00:00"/>
    <s v="CO-600"/>
    <n v="422132"/>
    <x v="2"/>
    <d v="1899-12-30T10:35:00"/>
    <d v="1899-12-30T11:35:00"/>
    <n v="60.000000000000028"/>
    <n v="60"/>
  </r>
  <r>
    <d v="2024-08-31T00:00:00"/>
    <s v="DC-600"/>
    <n v="422133"/>
    <x v="2"/>
    <d v="1899-12-30T11:35:00"/>
    <d v="1899-12-30T12:55:00"/>
    <n v="79.999999999999957"/>
    <n v="60"/>
  </r>
  <r>
    <d v="2024-08-31T00:00:00"/>
    <s v="DC-600"/>
    <n v="422134"/>
    <x v="0"/>
    <d v="1899-12-30T12:55:00"/>
    <d v="1899-12-30T14:45:00"/>
    <n v="110.00000000000009"/>
    <n v="60"/>
  </r>
  <r>
    <d v="2024-08-31T00:00:00"/>
    <s v="DC-600"/>
    <n v="422135"/>
    <x v="0"/>
    <d v="1899-12-30T14:45:00"/>
    <d v="1899-12-30T16:30:00"/>
    <n v="104.99999999999994"/>
    <n v="60"/>
  </r>
  <r>
    <d v="2024-08-31T00:00:00"/>
    <s v="DC-600"/>
    <n v="422136"/>
    <x v="0"/>
    <d v="1899-12-30T16:30:00"/>
    <d v="1899-12-30T17:30:00"/>
    <n v="59.999999999999943"/>
    <n v="60"/>
  </r>
  <r>
    <d v="2024-09-02T00:00:00"/>
    <s v="RB-600"/>
    <n v="422137"/>
    <x v="2"/>
    <d v="1899-12-30T01:00:00"/>
    <d v="1899-12-30T02:45:00"/>
    <n v="104.99999999999999"/>
    <n v="60"/>
  </r>
  <r>
    <d v="2024-09-02T00:00:00"/>
    <s v="RB-600"/>
    <n v="422138"/>
    <x v="2"/>
    <d v="1899-12-30T02:45:00"/>
    <d v="1899-12-30T04:05:00"/>
    <n v="80.000000000000014"/>
    <n v="60"/>
  </r>
  <r>
    <d v="2024-09-02T00:00:00"/>
    <s v="RB-600"/>
    <n v="422139"/>
    <x v="2"/>
    <d v="1899-12-30T04:05:00"/>
    <d v="1899-12-30T05:40:00"/>
    <n v="94.999999999999986"/>
    <n v="60"/>
  </r>
  <r>
    <d v="2024-09-02T00:00:00"/>
    <s v="RB-600"/>
    <n v="422140"/>
    <x v="2"/>
    <d v="1899-12-30T05:40:00"/>
    <d v="1899-12-30T07:43:00"/>
    <n v="123.00000000000004"/>
    <n v="60"/>
  </r>
  <r>
    <d v="2024-09-02T00:00:00"/>
    <s v="RB-600"/>
    <n v="422141"/>
    <x v="3"/>
    <d v="1899-12-30T07:43:00"/>
    <d v="1899-12-30T08:50:00"/>
    <n v="67"/>
    <n v="60"/>
  </r>
  <r>
    <d v="2024-09-02T00:00:00"/>
    <s v="RB-600"/>
    <n v="422142"/>
    <x v="3"/>
    <d v="1899-12-30T08:50:00"/>
    <d v="1899-12-30T10:20:00"/>
    <n v="90"/>
    <n v="60"/>
  </r>
  <r>
    <d v="2024-09-02T00:00:00"/>
    <s v="RB-600"/>
    <n v="422143"/>
    <x v="3"/>
    <d v="1899-12-30T10:20:00"/>
    <d v="1899-12-30T12:18:00"/>
    <n v="117.9999999999999"/>
    <n v="60"/>
  </r>
  <r>
    <d v="2024-09-02T00:00:00"/>
    <s v="CO-2L"/>
    <n v="422144"/>
    <x v="3"/>
    <d v="1899-12-30T12:18:00"/>
    <d v="1899-12-30T14:50:00"/>
    <n v="152.00000000000011"/>
    <n v="98"/>
  </r>
  <r>
    <d v="2024-09-02T00:00:00"/>
    <s v="CO-2L"/>
    <n v="422145"/>
    <x v="1"/>
    <d v="1899-12-30T14:50:00"/>
    <d v="1899-12-30T16:50:00"/>
    <n v="120.00000000000006"/>
    <n v="98"/>
  </r>
  <r>
    <d v="2024-09-02T00:00:00"/>
    <s v="CO-2L"/>
    <n v="422146"/>
    <x v="1"/>
    <d v="1899-12-30T16:50:00"/>
    <d v="1899-12-30T19:30:00"/>
    <n v="159.99999999999991"/>
    <n v="98"/>
  </r>
  <r>
    <d v="2024-09-02T00:00:00"/>
    <s v="CO-2L"/>
    <n v="422147"/>
    <x v="1"/>
    <d v="1899-12-30T19:30:00"/>
    <d v="1899-12-30T22:55:00"/>
    <n v="205.00000000000006"/>
    <n v="98"/>
  </r>
  <r>
    <d v="2024-09-03T00:00:00"/>
    <s v="CO-2L"/>
    <n v="422148"/>
    <x v="0"/>
    <d v="1899-12-30T22:55:00"/>
    <d v="1899-12-31T01:05:00"/>
    <n v="129.99999999999986"/>
    <n v="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7C1EC-0038-46B4-B9E8-CDF8FD437C9C}" name="PivotTable1" cacheId="5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L3:M7" firstHeaderRow="1" firstDataRow="1" firstDataCol="1"/>
  <pivotFields count="9">
    <pivotField numFmtId="164" showAll="0"/>
    <pivotField showAll="0"/>
    <pivotField showAll="0"/>
    <pivotField axis="axisRow" showAll="0">
      <items count="5">
        <item x="1"/>
        <item x="2"/>
        <item x="3"/>
        <item x="0"/>
        <item t="default"/>
      </items>
    </pivotField>
    <pivotField numFmtId="21" showAll="0"/>
    <pivotField numFmtId="21" showAll="0"/>
    <pivotField showAll="0"/>
    <pivotField showAll="0"/>
    <pivotField dataField="1" dragToRow="0" dragToCol="0" dragToPage="0" showAll="0" defaultSubtotal="0"/>
  </pivotFields>
  <rowFields count="1">
    <field x="3"/>
  </rowFields>
  <rowItems count="4">
    <i>
      <x/>
    </i>
    <i>
      <x v="1"/>
    </i>
    <i>
      <x v="2"/>
    </i>
    <i>
      <x v="3"/>
    </i>
  </rowItems>
  <colItems count="1">
    <i/>
  </colItems>
  <dataFields count="1">
    <dataField name="Sum of efficiency" fld="8" baseField="0" baseItem="0" numFmtId="9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962F3-8C54-4C2B-8E48-722D67F8C002}">
  <dimension ref="A1:M39"/>
  <sheetViews>
    <sheetView workbookViewId="0">
      <selection activeCell="N31" sqref="N31"/>
    </sheetView>
  </sheetViews>
  <sheetFormatPr defaultRowHeight="15" x14ac:dyDescent="0.25"/>
  <cols>
    <col min="1" max="1" width="14.28515625" customWidth="1"/>
    <col min="2" max="2" width="13.7109375" customWidth="1"/>
    <col min="3" max="3" width="12.85546875" customWidth="1"/>
    <col min="4" max="4" width="17.42578125" customWidth="1"/>
    <col min="5" max="5" width="19.28515625" customWidth="1"/>
    <col min="6" max="6" width="18.7109375" customWidth="1"/>
    <col min="7" max="7" width="13" customWidth="1"/>
    <col min="8" max="8" width="25.85546875" customWidth="1"/>
    <col min="9" max="11" width="8.85546875" customWidth="1"/>
    <col min="12" max="12" width="13.42578125" bestFit="1" customWidth="1"/>
    <col min="13" max="13" width="16.85546875" bestFit="1" customWidth="1"/>
  </cols>
  <sheetData>
    <row r="1" spans="1:1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44</v>
      </c>
      <c r="H1" s="2" t="s">
        <v>45</v>
      </c>
    </row>
    <row r="2" spans="1:13" x14ac:dyDescent="0.25">
      <c r="A2" s="1">
        <v>45533</v>
      </c>
      <c r="B2" t="s">
        <v>24</v>
      </c>
      <c r="C2">
        <v>422111</v>
      </c>
      <c r="D2" t="s">
        <v>43</v>
      </c>
      <c r="E2" s="3">
        <v>0.49305555555555558</v>
      </c>
      <c r="F2" s="3">
        <v>0.58680555555555558</v>
      </c>
      <c r="G2" s="5">
        <f>(F2-E2)*24*60</f>
        <v>135</v>
      </c>
      <c r="H2">
        <f>VLOOKUP(B2,Products!$A$1:$D$7,4,0)</f>
        <v>60</v>
      </c>
    </row>
    <row r="3" spans="1:13" x14ac:dyDescent="0.25">
      <c r="A3" s="1">
        <v>45533</v>
      </c>
      <c r="B3" t="s">
        <v>25</v>
      </c>
      <c r="C3">
        <v>422112</v>
      </c>
      <c r="D3" t="s">
        <v>43</v>
      </c>
      <c r="E3" s="3">
        <v>0.58680555555555558</v>
      </c>
      <c r="F3" s="3">
        <v>0.65625</v>
      </c>
      <c r="G3" s="5">
        <f t="shared" ref="G3:G39" si="0">(F3-E3)*24*60</f>
        <v>99.999999999999972</v>
      </c>
      <c r="H3">
        <f>VLOOKUP(B3,Products!$A$1:$D$7,4,0)</f>
        <v>60</v>
      </c>
      <c r="L3" s="7" t="s">
        <v>47</v>
      </c>
      <c r="M3" t="s">
        <v>46</v>
      </c>
    </row>
    <row r="4" spans="1:13" x14ac:dyDescent="0.25">
      <c r="A4" s="1">
        <v>45533</v>
      </c>
      <c r="B4" t="s">
        <v>25</v>
      </c>
      <c r="C4">
        <v>422113</v>
      </c>
      <c r="D4" t="s">
        <v>43</v>
      </c>
      <c r="E4" s="3">
        <v>0.65625</v>
      </c>
      <c r="F4" s="3">
        <v>0.73263888888888884</v>
      </c>
      <c r="G4" s="5">
        <f t="shared" si="0"/>
        <v>109.99999999999993</v>
      </c>
      <c r="H4">
        <f>VLOOKUP(B4,Products!$A$1:$D$7,4,0)</f>
        <v>60</v>
      </c>
      <c r="L4" s="8" t="s">
        <v>40</v>
      </c>
      <c r="M4" s="6">
        <v>0.66839378238341973</v>
      </c>
    </row>
    <row r="5" spans="1:13" x14ac:dyDescent="0.25">
      <c r="A5" s="1">
        <v>45533</v>
      </c>
      <c r="B5" t="s">
        <v>25</v>
      </c>
      <c r="C5">
        <v>422114</v>
      </c>
      <c r="D5" t="s">
        <v>43</v>
      </c>
      <c r="E5" s="3">
        <v>0.73263888888888884</v>
      </c>
      <c r="F5" s="3">
        <v>0.80208333333333326</v>
      </c>
      <c r="G5" s="5">
        <f t="shared" si="0"/>
        <v>99.999999999999972</v>
      </c>
      <c r="H5">
        <f>VLOOKUP(B5,Products!$A$1:$D$7,4,0)</f>
        <v>60</v>
      </c>
      <c r="L5" s="8" t="s">
        <v>41</v>
      </c>
      <c r="M5" s="6">
        <v>0.64077669902912626</v>
      </c>
    </row>
    <row r="6" spans="1:13" x14ac:dyDescent="0.25">
      <c r="A6" s="1">
        <v>45533</v>
      </c>
      <c r="B6" t="s">
        <v>25</v>
      </c>
      <c r="C6">
        <v>422115</v>
      </c>
      <c r="D6" t="s">
        <v>40</v>
      </c>
      <c r="E6" s="3">
        <v>0.80208333333333326</v>
      </c>
      <c r="F6" s="3">
        <v>0.86041666666666661</v>
      </c>
      <c r="G6" s="5">
        <f t="shared" si="0"/>
        <v>84.000000000000028</v>
      </c>
      <c r="H6">
        <f>VLOOKUP(B6,Products!$A$1:$D$7,4,0)</f>
        <v>60</v>
      </c>
      <c r="L6" s="8" t="s">
        <v>42</v>
      </c>
      <c r="M6" s="6">
        <v>0.63170731707317074</v>
      </c>
    </row>
    <row r="7" spans="1:13" x14ac:dyDescent="0.25">
      <c r="A7" s="1">
        <v>45533</v>
      </c>
      <c r="B7" t="s">
        <v>25</v>
      </c>
      <c r="C7">
        <v>422116</v>
      </c>
      <c r="D7" t="s">
        <v>40</v>
      </c>
      <c r="E7" s="3">
        <v>0.86041666666666661</v>
      </c>
      <c r="F7" s="3">
        <v>0.90208333333333324</v>
      </c>
      <c r="G7" s="5">
        <f t="shared" si="0"/>
        <v>59.999999999999943</v>
      </c>
      <c r="H7">
        <f>VLOOKUP(B7,Products!$A$1:$D$7,4,0)</f>
        <v>60</v>
      </c>
      <c r="L7" s="8" t="s">
        <v>43</v>
      </c>
      <c r="M7" s="6">
        <v>0.60941176470588243</v>
      </c>
    </row>
    <row r="8" spans="1:13" x14ac:dyDescent="0.25">
      <c r="A8" s="1">
        <v>45533</v>
      </c>
      <c r="B8" t="s">
        <v>25</v>
      </c>
      <c r="C8">
        <v>422117</v>
      </c>
      <c r="D8" t="s">
        <v>40</v>
      </c>
      <c r="E8" s="3">
        <v>0.90208333333333324</v>
      </c>
      <c r="F8" s="3">
        <v>0.95416666666666661</v>
      </c>
      <c r="G8" s="5">
        <f t="shared" si="0"/>
        <v>75.000000000000057</v>
      </c>
      <c r="H8">
        <f>VLOOKUP(B8,Products!$A$1:$D$7,4,0)</f>
        <v>60</v>
      </c>
    </row>
    <row r="9" spans="1:13" x14ac:dyDescent="0.25">
      <c r="A9" s="1">
        <v>45534</v>
      </c>
      <c r="B9" t="s">
        <v>26</v>
      </c>
      <c r="C9">
        <v>422118</v>
      </c>
      <c r="D9" t="s">
        <v>41</v>
      </c>
      <c r="E9" s="3">
        <v>0.1701388888888889</v>
      </c>
      <c r="F9" s="3">
        <v>0.25347222222222221</v>
      </c>
      <c r="G9" s="5">
        <f t="shared" si="0"/>
        <v>119.99999999999997</v>
      </c>
      <c r="H9">
        <f>VLOOKUP(B9,Products!$A$1:$D$7,4,0)</f>
        <v>60</v>
      </c>
    </row>
    <row r="10" spans="1:13" x14ac:dyDescent="0.25">
      <c r="A10" s="1">
        <v>45534</v>
      </c>
      <c r="B10" t="s">
        <v>26</v>
      </c>
      <c r="C10">
        <v>422119</v>
      </c>
      <c r="D10" t="s">
        <v>41</v>
      </c>
      <c r="E10" s="3">
        <v>0.25347222222222221</v>
      </c>
      <c r="F10" s="3">
        <v>0.3125</v>
      </c>
      <c r="G10" s="5">
        <f t="shared" si="0"/>
        <v>85.000000000000014</v>
      </c>
      <c r="H10">
        <f>VLOOKUP(B10,Products!$A$1:$D$7,4,0)</f>
        <v>60</v>
      </c>
    </row>
    <row r="11" spans="1:13" x14ac:dyDescent="0.25">
      <c r="A11" s="1">
        <v>45534</v>
      </c>
      <c r="B11" t="s">
        <v>26</v>
      </c>
      <c r="C11">
        <v>422120</v>
      </c>
      <c r="D11" t="s">
        <v>41</v>
      </c>
      <c r="E11" s="3">
        <v>0.3125</v>
      </c>
      <c r="F11" s="3">
        <v>0.39027777777777778</v>
      </c>
      <c r="G11" s="5">
        <f t="shared" si="0"/>
        <v>112</v>
      </c>
      <c r="H11">
        <f>VLOOKUP(B11,Products!$A$1:$D$7,4,0)</f>
        <v>60</v>
      </c>
    </row>
    <row r="12" spans="1:13" x14ac:dyDescent="0.25">
      <c r="A12" s="1">
        <v>45534</v>
      </c>
      <c r="B12" t="s">
        <v>26</v>
      </c>
      <c r="C12">
        <v>422121</v>
      </c>
      <c r="D12" t="s">
        <v>42</v>
      </c>
      <c r="E12" s="3">
        <v>0.39027777777777778</v>
      </c>
      <c r="F12" s="3">
        <v>0.44236111111111109</v>
      </c>
      <c r="G12" s="5">
        <f t="shared" si="0"/>
        <v>74.999999999999972</v>
      </c>
      <c r="H12">
        <f>VLOOKUP(B12,Products!$A$1:$D$7,4,0)</f>
        <v>60</v>
      </c>
    </row>
    <row r="13" spans="1:13" x14ac:dyDescent="0.25">
      <c r="A13" s="1">
        <v>45534</v>
      </c>
      <c r="B13" t="s">
        <v>26</v>
      </c>
      <c r="C13">
        <v>422122</v>
      </c>
      <c r="D13" t="s">
        <v>42</v>
      </c>
      <c r="E13" s="3">
        <v>0.44236111111111109</v>
      </c>
      <c r="F13" s="3">
        <v>0.50138888888888888</v>
      </c>
      <c r="G13" s="5">
        <f t="shared" si="0"/>
        <v>85.000000000000014</v>
      </c>
      <c r="H13">
        <f>VLOOKUP(B13,Products!$A$1:$D$7,4,0)</f>
        <v>60</v>
      </c>
    </row>
    <row r="14" spans="1:13" x14ac:dyDescent="0.25">
      <c r="A14" s="1">
        <v>45534</v>
      </c>
      <c r="B14" t="s">
        <v>26</v>
      </c>
      <c r="C14">
        <v>422123</v>
      </c>
      <c r="D14" t="s">
        <v>42</v>
      </c>
      <c r="E14" s="3">
        <v>0.50138888888888888</v>
      </c>
      <c r="F14" s="3">
        <v>0.59375</v>
      </c>
      <c r="G14" s="5">
        <f t="shared" si="0"/>
        <v>133</v>
      </c>
      <c r="H14">
        <f>VLOOKUP(B14,Products!$A$1:$D$7,4,0)</f>
        <v>60</v>
      </c>
    </row>
    <row r="15" spans="1:13" x14ac:dyDescent="0.25">
      <c r="A15" s="1">
        <v>45534</v>
      </c>
      <c r="B15" t="s">
        <v>26</v>
      </c>
      <c r="C15">
        <v>422124</v>
      </c>
      <c r="D15" t="s">
        <v>42</v>
      </c>
      <c r="E15" s="3">
        <v>0.59375</v>
      </c>
      <c r="F15" s="3">
        <v>0.66319444444444442</v>
      </c>
      <c r="G15" s="5">
        <f t="shared" si="0"/>
        <v>99.999999999999972</v>
      </c>
      <c r="H15">
        <f>VLOOKUP(B15,Products!$A$1:$D$7,4,0)</f>
        <v>60</v>
      </c>
    </row>
    <row r="16" spans="1:13" x14ac:dyDescent="0.25">
      <c r="A16" s="1">
        <v>45534</v>
      </c>
      <c r="B16" t="s">
        <v>26</v>
      </c>
      <c r="C16">
        <v>422125</v>
      </c>
      <c r="D16" t="s">
        <v>40</v>
      </c>
      <c r="E16" s="3">
        <v>0.66319444444444442</v>
      </c>
      <c r="F16" s="3">
        <v>0.71875</v>
      </c>
      <c r="G16" s="5">
        <f t="shared" si="0"/>
        <v>80.000000000000028</v>
      </c>
      <c r="H16">
        <f>VLOOKUP(B16,Products!$A$1:$D$7,4,0)</f>
        <v>60</v>
      </c>
    </row>
    <row r="17" spans="1:8" x14ac:dyDescent="0.25">
      <c r="A17" s="1">
        <v>45534</v>
      </c>
      <c r="B17" t="s">
        <v>26</v>
      </c>
      <c r="C17">
        <v>422126</v>
      </c>
      <c r="D17" t="s">
        <v>40</v>
      </c>
      <c r="E17" s="3">
        <v>0.71875</v>
      </c>
      <c r="F17" s="3">
        <v>0.79097222222222219</v>
      </c>
      <c r="G17" s="5">
        <f t="shared" si="0"/>
        <v>103.99999999999994</v>
      </c>
      <c r="H17">
        <f>VLOOKUP(B17,Products!$A$1:$D$7,4,0)</f>
        <v>60</v>
      </c>
    </row>
    <row r="18" spans="1:8" x14ac:dyDescent="0.25">
      <c r="A18" s="1">
        <v>45534</v>
      </c>
      <c r="B18" t="s">
        <v>26</v>
      </c>
      <c r="C18">
        <v>422127</v>
      </c>
      <c r="D18" t="s">
        <v>40</v>
      </c>
      <c r="E18" s="3">
        <v>0.79097222222222219</v>
      </c>
      <c r="F18" s="3">
        <v>0.84861111111111109</v>
      </c>
      <c r="G18" s="5">
        <f t="shared" si="0"/>
        <v>83.000000000000028</v>
      </c>
      <c r="H18">
        <f>VLOOKUP(B18,Products!$A$1:$D$7,4,0)</f>
        <v>60</v>
      </c>
    </row>
    <row r="19" spans="1:8" x14ac:dyDescent="0.25">
      <c r="A19" s="1">
        <v>45534</v>
      </c>
      <c r="B19" t="s">
        <v>26</v>
      </c>
      <c r="C19">
        <v>422128</v>
      </c>
      <c r="D19" t="s">
        <v>40</v>
      </c>
      <c r="E19" s="3">
        <v>0.84861111111111109</v>
      </c>
      <c r="F19" s="3">
        <v>0.92638888888888893</v>
      </c>
      <c r="G19" s="5">
        <f t="shared" si="0"/>
        <v>112.00000000000009</v>
      </c>
      <c r="H19">
        <f>VLOOKUP(B19,Products!$A$1:$D$7,4,0)</f>
        <v>60</v>
      </c>
    </row>
    <row r="20" spans="1:8" x14ac:dyDescent="0.25">
      <c r="A20" s="1">
        <v>45534</v>
      </c>
      <c r="B20" t="s">
        <v>26</v>
      </c>
      <c r="C20">
        <v>422129</v>
      </c>
      <c r="D20" t="s">
        <v>40</v>
      </c>
      <c r="E20" s="3">
        <v>0.92638888888888893</v>
      </c>
      <c r="F20" s="3">
        <v>0.97847222222222219</v>
      </c>
      <c r="G20" s="5">
        <f t="shared" si="0"/>
        <v>74.999999999999886</v>
      </c>
      <c r="H20">
        <f>VLOOKUP(B20,Products!$A$1:$D$7,4,0)</f>
        <v>60</v>
      </c>
    </row>
    <row r="21" spans="1:8" x14ac:dyDescent="0.25">
      <c r="A21" s="1">
        <v>45535</v>
      </c>
      <c r="B21" t="s">
        <v>26</v>
      </c>
      <c r="C21">
        <v>422130</v>
      </c>
      <c r="D21" t="s">
        <v>41</v>
      </c>
      <c r="E21" s="3">
        <v>0.32291666666666669</v>
      </c>
      <c r="F21" s="3">
        <v>0.37847222222222221</v>
      </c>
      <c r="G21" s="5">
        <f t="shared" si="0"/>
        <v>79.999999999999957</v>
      </c>
      <c r="H21">
        <f>VLOOKUP(B21,Products!$A$1:$D$7,4,0)</f>
        <v>60</v>
      </c>
    </row>
    <row r="22" spans="1:8" x14ac:dyDescent="0.25">
      <c r="A22" s="1">
        <v>45535</v>
      </c>
      <c r="B22" t="s">
        <v>26</v>
      </c>
      <c r="C22">
        <v>422131</v>
      </c>
      <c r="D22" t="s">
        <v>41</v>
      </c>
      <c r="E22" s="3">
        <v>0.37847222222222221</v>
      </c>
      <c r="F22" s="3">
        <v>0.44097222222222221</v>
      </c>
      <c r="G22" s="5">
        <f t="shared" si="0"/>
        <v>90</v>
      </c>
      <c r="H22">
        <f>VLOOKUP(B22,Products!$A$1:$D$7,4,0)</f>
        <v>60</v>
      </c>
    </row>
    <row r="23" spans="1:8" x14ac:dyDescent="0.25">
      <c r="A23" s="1">
        <v>45535</v>
      </c>
      <c r="B23" t="s">
        <v>26</v>
      </c>
      <c r="C23">
        <v>422132</v>
      </c>
      <c r="D23" t="s">
        <v>41</v>
      </c>
      <c r="E23" s="3">
        <v>0.44097222222222221</v>
      </c>
      <c r="F23" s="3">
        <v>0.4826388888888889</v>
      </c>
      <c r="G23" s="5">
        <f t="shared" si="0"/>
        <v>60.000000000000028</v>
      </c>
      <c r="H23">
        <f>VLOOKUP(B23,Products!$A$1:$D$7,4,0)</f>
        <v>60</v>
      </c>
    </row>
    <row r="24" spans="1:8" x14ac:dyDescent="0.25">
      <c r="A24" s="1">
        <v>45535</v>
      </c>
      <c r="B24" t="s">
        <v>27</v>
      </c>
      <c r="C24">
        <v>422133</v>
      </c>
      <c r="D24" t="s">
        <v>41</v>
      </c>
      <c r="E24" s="3">
        <v>0.4826388888888889</v>
      </c>
      <c r="F24" s="3">
        <v>0.53819444444444442</v>
      </c>
      <c r="G24" s="5">
        <f t="shared" si="0"/>
        <v>79.999999999999957</v>
      </c>
      <c r="H24">
        <f>VLOOKUP(B24,Products!$A$1:$D$7,4,0)</f>
        <v>60</v>
      </c>
    </row>
    <row r="25" spans="1:8" x14ac:dyDescent="0.25">
      <c r="A25" s="1">
        <v>45535</v>
      </c>
      <c r="B25" t="s">
        <v>27</v>
      </c>
      <c r="C25">
        <v>422134</v>
      </c>
      <c r="D25" t="s">
        <v>43</v>
      </c>
      <c r="E25" s="3">
        <v>0.53819444444444442</v>
      </c>
      <c r="F25" s="3">
        <v>0.61458333333333337</v>
      </c>
      <c r="G25" s="5">
        <f t="shared" si="0"/>
        <v>110.00000000000009</v>
      </c>
      <c r="H25">
        <f>VLOOKUP(B25,Products!$A$1:$D$7,4,0)</f>
        <v>60</v>
      </c>
    </row>
    <row r="26" spans="1:8" x14ac:dyDescent="0.25">
      <c r="A26" s="1">
        <v>45535</v>
      </c>
      <c r="B26" t="s">
        <v>27</v>
      </c>
      <c r="C26">
        <v>422135</v>
      </c>
      <c r="D26" t="s">
        <v>43</v>
      </c>
      <c r="E26" s="3">
        <v>0.61458333333333337</v>
      </c>
      <c r="F26" s="3">
        <v>0.6875</v>
      </c>
      <c r="G26" s="5">
        <f t="shared" si="0"/>
        <v>104.99999999999994</v>
      </c>
      <c r="H26">
        <f>VLOOKUP(B26,Products!$A$1:$D$7,4,0)</f>
        <v>60</v>
      </c>
    </row>
    <row r="27" spans="1:8" x14ac:dyDescent="0.25">
      <c r="A27" s="1">
        <v>45535</v>
      </c>
      <c r="B27" t="s">
        <v>27</v>
      </c>
      <c r="C27">
        <v>422136</v>
      </c>
      <c r="D27" t="s">
        <v>43</v>
      </c>
      <c r="E27" s="3">
        <v>0.6875</v>
      </c>
      <c r="F27" s="3">
        <v>0.72916666666666663</v>
      </c>
      <c r="G27" s="5">
        <f t="shared" si="0"/>
        <v>59.999999999999943</v>
      </c>
      <c r="H27">
        <f>VLOOKUP(B27,Products!$A$1:$D$7,4,0)</f>
        <v>60</v>
      </c>
    </row>
    <row r="28" spans="1:8" x14ac:dyDescent="0.25">
      <c r="A28" s="1">
        <v>45537</v>
      </c>
      <c r="B28" t="s">
        <v>28</v>
      </c>
      <c r="C28">
        <v>422137</v>
      </c>
      <c r="D28" t="s">
        <v>41</v>
      </c>
      <c r="E28" s="3">
        <v>4.1666666666666664E-2</v>
      </c>
      <c r="F28" s="3">
        <v>0.11458333333333333</v>
      </c>
      <c r="G28" s="5">
        <f t="shared" si="0"/>
        <v>104.99999999999999</v>
      </c>
      <c r="H28">
        <f>VLOOKUP(B28,Products!$A$1:$D$7,4,0)</f>
        <v>60</v>
      </c>
    </row>
    <row r="29" spans="1:8" x14ac:dyDescent="0.25">
      <c r="A29" s="1">
        <v>45537</v>
      </c>
      <c r="B29" t="s">
        <v>28</v>
      </c>
      <c r="C29">
        <v>422138</v>
      </c>
      <c r="D29" t="s">
        <v>41</v>
      </c>
      <c r="E29" s="3">
        <v>0.11458333333333333</v>
      </c>
      <c r="F29" s="3">
        <v>0.1701388888888889</v>
      </c>
      <c r="G29" s="5">
        <f t="shared" si="0"/>
        <v>80.000000000000014</v>
      </c>
      <c r="H29">
        <f>VLOOKUP(B29,Products!$A$1:$D$7,4,0)</f>
        <v>60</v>
      </c>
    </row>
    <row r="30" spans="1:8" x14ac:dyDescent="0.25">
      <c r="A30" s="1">
        <v>45537</v>
      </c>
      <c r="B30" t="s">
        <v>28</v>
      </c>
      <c r="C30">
        <v>422139</v>
      </c>
      <c r="D30" t="s">
        <v>41</v>
      </c>
      <c r="E30" s="3">
        <v>0.1701388888888889</v>
      </c>
      <c r="F30" s="3">
        <v>0.2361111111111111</v>
      </c>
      <c r="G30" s="5">
        <f t="shared" si="0"/>
        <v>94.999999999999986</v>
      </c>
      <c r="H30">
        <f>VLOOKUP(B30,Products!$A$1:$D$7,4,0)</f>
        <v>60</v>
      </c>
    </row>
    <row r="31" spans="1:8" x14ac:dyDescent="0.25">
      <c r="A31" s="1">
        <v>45537</v>
      </c>
      <c r="B31" t="s">
        <v>28</v>
      </c>
      <c r="C31">
        <v>422140</v>
      </c>
      <c r="D31" t="s">
        <v>41</v>
      </c>
      <c r="E31" s="3">
        <v>0.2361111111111111</v>
      </c>
      <c r="F31" s="3">
        <v>0.3215277777777778</v>
      </c>
      <c r="G31" s="5">
        <f t="shared" si="0"/>
        <v>123.00000000000004</v>
      </c>
      <c r="H31">
        <f>VLOOKUP(B31,Products!$A$1:$D$7,4,0)</f>
        <v>60</v>
      </c>
    </row>
    <row r="32" spans="1:8" x14ac:dyDescent="0.25">
      <c r="A32" s="1">
        <v>45537</v>
      </c>
      <c r="B32" t="s">
        <v>28</v>
      </c>
      <c r="C32">
        <v>422141</v>
      </c>
      <c r="D32" t="s">
        <v>42</v>
      </c>
      <c r="E32" s="3">
        <v>0.3215277777777778</v>
      </c>
      <c r="F32" s="3">
        <v>0.36805555555555558</v>
      </c>
      <c r="G32" s="5">
        <f t="shared" si="0"/>
        <v>67</v>
      </c>
      <c r="H32">
        <f>VLOOKUP(B32,Products!$A$1:$D$7,4,0)</f>
        <v>60</v>
      </c>
    </row>
    <row r="33" spans="1:8" x14ac:dyDescent="0.25">
      <c r="A33" s="1">
        <v>45537</v>
      </c>
      <c r="B33" t="s">
        <v>28</v>
      </c>
      <c r="C33">
        <v>422142</v>
      </c>
      <c r="D33" t="s">
        <v>42</v>
      </c>
      <c r="E33" s="3">
        <v>0.36805555555555558</v>
      </c>
      <c r="F33" s="3">
        <v>0.43055555555555558</v>
      </c>
      <c r="G33" s="5">
        <f t="shared" si="0"/>
        <v>90</v>
      </c>
      <c r="H33">
        <f>VLOOKUP(B33,Products!$A$1:$D$7,4,0)</f>
        <v>60</v>
      </c>
    </row>
    <row r="34" spans="1:8" x14ac:dyDescent="0.25">
      <c r="A34" s="1">
        <v>45537</v>
      </c>
      <c r="B34" t="s">
        <v>28</v>
      </c>
      <c r="C34">
        <v>422143</v>
      </c>
      <c r="D34" t="s">
        <v>42</v>
      </c>
      <c r="E34" s="3">
        <v>0.43055555555555558</v>
      </c>
      <c r="F34" s="3">
        <v>0.51249999999999996</v>
      </c>
      <c r="G34" s="5">
        <f t="shared" si="0"/>
        <v>117.9999999999999</v>
      </c>
      <c r="H34">
        <f>VLOOKUP(B34,Products!$A$1:$D$7,4,0)</f>
        <v>60</v>
      </c>
    </row>
    <row r="35" spans="1:8" x14ac:dyDescent="0.25">
      <c r="A35" s="1">
        <v>45537</v>
      </c>
      <c r="B35" t="s">
        <v>29</v>
      </c>
      <c r="C35">
        <v>422144</v>
      </c>
      <c r="D35" t="s">
        <v>42</v>
      </c>
      <c r="E35" s="3">
        <v>0.51249999999999996</v>
      </c>
      <c r="F35" s="3">
        <v>0.61805555555555558</v>
      </c>
      <c r="G35" s="5">
        <f t="shared" si="0"/>
        <v>152.00000000000011</v>
      </c>
      <c r="H35">
        <f>VLOOKUP(B35,Products!$A$1:$D$7,4,0)</f>
        <v>98</v>
      </c>
    </row>
    <row r="36" spans="1:8" x14ac:dyDescent="0.25">
      <c r="A36" s="1">
        <v>45537</v>
      </c>
      <c r="B36" t="s">
        <v>29</v>
      </c>
      <c r="C36">
        <v>422145</v>
      </c>
      <c r="D36" t="s">
        <v>40</v>
      </c>
      <c r="E36" s="3">
        <v>0.61805555555555558</v>
      </c>
      <c r="F36" s="3">
        <v>0.70138888888888895</v>
      </c>
      <c r="G36" s="5">
        <f t="shared" si="0"/>
        <v>120.00000000000006</v>
      </c>
      <c r="H36">
        <f>VLOOKUP(B36,Products!$A$1:$D$7,4,0)</f>
        <v>98</v>
      </c>
    </row>
    <row r="37" spans="1:8" x14ac:dyDescent="0.25">
      <c r="A37" s="1">
        <v>45537</v>
      </c>
      <c r="B37" t="s">
        <v>29</v>
      </c>
      <c r="C37">
        <v>422146</v>
      </c>
      <c r="D37" t="s">
        <v>40</v>
      </c>
      <c r="E37" s="3">
        <v>0.70138888888888895</v>
      </c>
      <c r="F37" s="3">
        <v>0.8125</v>
      </c>
      <c r="G37" s="5">
        <f t="shared" si="0"/>
        <v>159.99999999999991</v>
      </c>
      <c r="H37">
        <f>VLOOKUP(B37,Products!$A$1:$D$7,4,0)</f>
        <v>98</v>
      </c>
    </row>
    <row r="38" spans="1:8" x14ac:dyDescent="0.25">
      <c r="A38" s="1">
        <v>45537</v>
      </c>
      <c r="B38" t="s">
        <v>29</v>
      </c>
      <c r="C38">
        <v>422147</v>
      </c>
      <c r="D38" t="s">
        <v>40</v>
      </c>
      <c r="E38" s="3">
        <v>0.8125</v>
      </c>
      <c r="F38" s="3">
        <v>0.95486111111111116</v>
      </c>
      <c r="G38" s="5">
        <f t="shared" si="0"/>
        <v>205.00000000000006</v>
      </c>
      <c r="H38">
        <f>VLOOKUP(B38,Products!$A$1:$D$7,4,0)</f>
        <v>98</v>
      </c>
    </row>
    <row r="39" spans="1:8" x14ac:dyDescent="0.25">
      <c r="A39" s="1">
        <v>45538</v>
      </c>
      <c r="B39" t="s">
        <v>29</v>
      </c>
      <c r="C39">
        <v>422148</v>
      </c>
      <c r="D39" t="s">
        <v>43</v>
      </c>
      <c r="E39" s="3">
        <v>0.95486111111111116</v>
      </c>
      <c r="F39" s="3">
        <v>1.0451388888888888</v>
      </c>
      <c r="G39" s="5">
        <f t="shared" si="0"/>
        <v>129.99999999999986</v>
      </c>
      <c r="H39">
        <f>VLOOKUP(B39,Products!$A$1:$D$7,4,0)</f>
        <v>98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731CD-3FD0-4660-8EEA-0245BDDFE128}">
  <dimension ref="B37:H42"/>
  <sheetViews>
    <sheetView showGridLines="0" tabSelected="1" workbookViewId="0">
      <selection activeCell="D47" sqref="D47"/>
    </sheetView>
  </sheetViews>
  <sheetFormatPr defaultRowHeight="15" x14ac:dyDescent="0.25"/>
  <cols>
    <col min="2" max="2" width="17.42578125" customWidth="1"/>
    <col min="3" max="7" width="23.140625" customWidth="1"/>
    <col min="8" max="8" width="15" customWidth="1"/>
  </cols>
  <sheetData>
    <row r="37" spans="2:7" hidden="1" x14ac:dyDescent="0.25">
      <c r="C37" s="10">
        <v>6</v>
      </c>
      <c r="D37" s="10">
        <v>7</v>
      </c>
      <c r="E37" s="10">
        <v>4</v>
      </c>
      <c r="F37" s="10">
        <v>2</v>
      </c>
      <c r="G37" s="10">
        <v>8</v>
      </c>
    </row>
    <row r="38" spans="2:7" ht="27" customHeight="1" x14ac:dyDescent="0.25">
      <c r="C38" s="13" t="s">
        <v>9</v>
      </c>
      <c r="D38" s="11" t="s">
        <v>12</v>
      </c>
      <c r="E38" s="11" t="s">
        <v>14</v>
      </c>
      <c r="F38" s="13" t="s">
        <v>8</v>
      </c>
      <c r="G38" s="13" t="s">
        <v>13</v>
      </c>
    </row>
    <row r="39" spans="2:7" ht="27" customHeight="1" x14ac:dyDescent="0.25">
      <c r="B39" s="10" t="s">
        <v>40</v>
      </c>
      <c r="C39" s="12">
        <f>SUMIFS(INDEX('Line downtime'!$C$3:$N$40,,MATCH(Dashboard!C$37,'Line downtime'!$C$2:$N$2,0)),'Line downtime'!$B$3:$B$40,$B39)</f>
        <v>118</v>
      </c>
      <c r="D39" s="12">
        <f>SUMIFS(INDEX('Line downtime'!$C$3:$N$40,,MATCH(Dashboard!D$37,'Line downtime'!$C$2:$N$2,0)),'Line downtime'!$B$3:$B$40,$B39)</f>
        <v>85</v>
      </c>
      <c r="E39" s="12">
        <f>SUMIFS(INDEX('Line downtime'!$C$3:$N$40,,MATCH(Dashboard!E$37,'Line downtime'!$C$2:$N$2,0)),'Line downtime'!$B$3:$B$40,$B39)</f>
        <v>17</v>
      </c>
      <c r="F39" s="12">
        <f>SUMIFS(INDEX('Line downtime'!$C$3:$N$40,,MATCH(Dashboard!F$37,'Line downtime'!$C$2:$N$2,0)),'Line downtime'!$B$3:$B$40,$B39)</f>
        <v>10</v>
      </c>
      <c r="G39" s="12">
        <f>SUMIFS(INDEX('Line downtime'!$C$3:$N$40,,MATCH(Dashboard!G$37,'Line downtime'!$C$2:$N$2,0)),'Line downtime'!$B$3:$B$40,$B39)</f>
        <v>44</v>
      </c>
    </row>
    <row r="40" spans="2:7" ht="27" customHeight="1" x14ac:dyDescent="0.25">
      <c r="B40" s="10" t="s">
        <v>41</v>
      </c>
      <c r="C40" s="12">
        <f>SUMIFS(INDEX('Line downtime'!$C$3:$N$40,,MATCH(Dashboard!C$37,'Line downtime'!$C$2:$N$2,0)),'Line downtime'!$B$3:$B$40,$B40)</f>
        <v>79</v>
      </c>
      <c r="D40" s="12">
        <f>SUMIFS(INDEX('Line downtime'!$C$3:$N$40,,MATCH(Dashboard!D$37,'Line downtime'!$C$2:$N$2,0)),'Line downtime'!$B$3:$B$40,$B40)</f>
        <v>36</v>
      </c>
      <c r="E40" s="12">
        <f>SUMIFS(INDEX('Line downtime'!$C$3:$N$40,,MATCH(Dashboard!E$37,'Line downtime'!$C$2:$N$2,0)),'Line downtime'!$B$3:$B$40,$B40)</f>
        <v>85</v>
      </c>
      <c r="F40" s="12">
        <f>SUMIFS(INDEX('Line downtime'!$C$3:$N$40,,MATCH(Dashboard!F$37,'Line downtime'!$C$2:$N$2,0)),'Line downtime'!$B$3:$B$40,$B40)</f>
        <v>20</v>
      </c>
      <c r="G40" s="12">
        <f>SUMIFS(INDEX('Line downtime'!$C$3:$N$40,,MATCH(Dashboard!G$37,'Line downtime'!$C$2:$N$2,0)),'Line downtime'!$B$3:$B$40,$B40)</f>
        <v>30</v>
      </c>
    </row>
    <row r="41" spans="2:7" ht="27" customHeight="1" x14ac:dyDescent="0.25">
      <c r="B41" s="10" t="s">
        <v>42</v>
      </c>
      <c r="C41" s="12">
        <f>SUMIFS(INDEX('Line downtime'!$C$3:$N$40,,MATCH(Dashboard!C$37,'Line downtime'!$C$2:$N$2,0)),'Line downtime'!$B$3:$B$40,$B41)</f>
        <v>120</v>
      </c>
      <c r="D41" s="12">
        <f>SUMIFS(INDEX('Line downtime'!$C$3:$N$40,,MATCH(Dashboard!D$37,'Line downtime'!$C$2:$N$2,0)),'Line downtime'!$B$3:$B$40,$B41)</f>
        <v>88</v>
      </c>
      <c r="E41" s="12">
        <f>SUMIFS(INDEX('Line downtime'!$C$3:$N$40,,MATCH(Dashboard!E$37,'Line downtime'!$C$2:$N$2,0)),'Line downtime'!$B$3:$B$40,$B41)</f>
        <v>43</v>
      </c>
      <c r="F41" s="12">
        <f>SUMIFS(INDEX('Line downtime'!$C$3:$N$40,,MATCH(Dashboard!F$37,'Line downtime'!$C$2:$N$2,0)),'Line downtime'!$B$3:$B$40,$B41)</f>
        <v>0</v>
      </c>
      <c r="G41" s="12">
        <f>SUMIFS(INDEX('Line downtime'!$C$3:$N$40,,MATCH(Dashboard!G$37,'Line downtime'!$C$2:$N$2,0)),'Line downtime'!$B$3:$B$40,$B41)</f>
        <v>24</v>
      </c>
    </row>
    <row r="42" spans="2:7" ht="27" customHeight="1" x14ac:dyDescent="0.25">
      <c r="B42" s="10" t="s">
        <v>43</v>
      </c>
      <c r="C42" s="12">
        <f>SUMIFS(INDEX('Line downtime'!$C$3:$N$40,,MATCH(Dashboard!C$37,'Line downtime'!$C$2:$N$2,0)),'Line downtime'!$B$3:$B$40,$B42)</f>
        <v>15</v>
      </c>
      <c r="D42" s="12">
        <f>SUMIFS(INDEX('Line downtime'!$C$3:$N$40,,MATCH(Dashboard!D$37,'Line downtime'!$C$2:$N$2,0)),'Line downtime'!$B$3:$B$40,$B42)</f>
        <v>45</v>
      </c>
      <c r="E42" s="12">
        <f>SUMIFS(INDEX('Line downtime'!$C$3:$N$40,,MATCH(Dashboard!E$37,'Line downtime'!$C$2:$N$2,0)),'Line downtime'!$B$3:$B$40,$B42)</f>
        <v>80</v>
      </c>
      <c r="F42" s="12">
        <f>SUMIFS(INDEX('Line downtime'!$C$3:$N$40,,MATCH(Dashboard!F$37,'Line downtime'!$C$2:$N$2,0)),'Line downtime'!$B$3:$B$40,$B42)</f>
        <v>130</v>
      </c>
      <c r="G42" s="12">
        <f>SUMIFS(INDEX('Line downtime'!$C$3:$N$40,,MATCH(Dashboard!G$37,'Line downtime'!$C$2:$N$2,0)),'Line downtime'!$B$3:$B$40,$B42)</f>
        <v>47</v>
      </c>
    </row>
  </sheetData>
  <conditionalFormatting sqref="C39:G42">
    <cfRule type="colorScale" priority="1">
      <colorScale>
        <cfvo type="min"/>
        <cfvo type="percentile" val="50"/>
        <cfvo type="max"/>
        <color theme="0"/>
        <color theme="0"/>
        <color theme="4"/>
      </colorScale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7A9A-369F-46C5-93C5-09FBB32FF7C0}">
  <dimension ref="A1:D7"/>
  <sheetViews>
    <sheetView workbookViewId="0"/>
  </sheetViews>
  <sheetFormatPr defaultRowHeight="15" x14ac:dyDescent="0.25"/>
  <cols>
    <col min="2" max="2" width="11.140625" bestFit="1" customWidth="1"/>
    <col min="4" max="4" width="14.42578125" bestFit="1" customWidth="1"/>
  </cols>
  <sheetData>
    <row r="1" spans="1:4" x14ac:dyDescent="0.25">
      <c r="A1" s="2" t="s">
        <v>1</v>
      </c>
      <c r="B1" s="2" t="s">
        <v>30</v>
      </c>
      <c r="C1" s="2" t="s">
        <v>31</v>
      </c>
      <c r="D1" s="2" t="s">
        <v>39</v>
      </c>
    </row>
    <row r="2" spans="1:4" x14ac:dyDescent="0.25">
      <c r="A2" t="s">
        <v>24</v>
      </c>
      <c r="B2" t="s">
        <v>32</v>
      </c>
      <c r="C2" t="s">
        <v>38</v>
      </c>
      <c r="D2">
        <v>60</v>
      </c>
    </row>
    <row r="3" spans="1:4" x14ac:dyDescent="0.25">
      <c r="A3" t="s">
        <v>25</v>
      </c>
      <c r="B3" t="s">
        <v>33</v>
      </c>
      <c r="C3" t="s">
        <v>38</v>
      </c>
      <c r="D3">
        <v>60</v>
      </c>
    </row>
    <row r="4" spans="1:4" x14ac:dyDescent="0.25">
      <c r="A4" t="s">
        <v>26</v>
      </c>
      <c r="B4" t="s">
        <v>34</v>
      </c>
      <c r="C4" t="s">
        <v>38</v>
      </c>
      <c r="D4">
        <v>60</v>
      </c>
    </row>
    <row r="5" spans="1:4" x14ac:dyDescent="0.25">
      <c r="A5" t="s">
        <v>27</v>
      </c>
      <c r="B5" t="s">
        <v>35</v>
      </c>
      <c r="C5" t="s">
        <v>38</v>
      </c>
      <c r="D5">
        <v>60</v>
      </c>
    </row>
    <row r="6" spans="1:4" x14ac:dyDescent="0.25">
      <c r="A6" t="s">
        <v>28</v>
      </c>
      <c r="B6" t="s">
        <v>36</v>
      </c>
      <c r="C6" t="s">
        <v>38</v>
      </c>
      <c r="D6">
        <v>60</v>
      </c>
    </row>
    <row r="7" spans="1:4" x14ac:dyDescent="0.25">
      <c r="A7" t="s">
        <v>29</v>
      </c>
      <c r="B7" t="s">
        <v>34</v>
      </c>
      <c r="C7" t="s">
        <v>37</v>
      </c>
      <c r="D7">
        <v>98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7156D-DBB5-4EA9-A733-8897AD1035D5}">
  <dimension ref="A1:E13"/>
  <sheetViews>
    <sheetView zoomScale="175" zoomScaleNormal="175" workbookViewId="0">
      <selection activeCell="B25" sqref="B25"/>
    </sheetView>
  </sheetViews>
  <sheetFormatPr defaultRowHeight="15" x14ac:dyDescent="0.25"/>
  <cols>
    <col min="1" max="1" width="17.85546875" customWidth="1"/>
    <col min="2" max="2" width="27.140625" customWidth="1"/>
    <col min="3" max="3" width="14" bestFit="1" customWidth="1"/>
    <col min="4" max="4" width="23.28515625" customWidth="1"/>
  </cols>
  <sheetData>
    <row r="1" spans="1:5" x14ac:dyDescent="0.25">
      <c r="A1" s="2" t="s">
        <v>6</v>
      </c>
      <c r="B1" s="2" t="s">
        <v>22</v>
      </c>
      <c r="C1" s="2" t="s">
        <v>7</v>
      </c>
      <c r="D1" s="2" t="s">
        <v>48</v>
      </c>
      <c r="E1" s="2" t="s">
        <v>49</v>
      </c>
    </row>
    <row r="2" spans="1:5" x14ac:dyDescent="0.25">
      <c r="A2">
        <v>6</v>
      </c>
      <c r="B2" t="s">
        <v>9</v>
      </c>
      <c r="C2" t="s">
        <v>21</v>
      </c>
      <c r="D2">
        <f>SUM(
  INDEX(
    'Line downtime'!$C$3:$N$40,
    ,
    MATCH(A2,'Line downtime'!$C$2:$N$2,0)
  )
)</f>
        <v>332</v>
      </c>
      <c r="E2" s="9">
        <f>SUM($D$2:D2)/SUM($D$2:$D$13)</f>
        <v>0.23919308357348704</v>
      </c>
    </row>
    <row r="3" spans="1:5" x14ac:dyDescent="0.25">
      <c r="A3">
        <v>7</v>
      </c>
      <c r="B3" t="s">
        <v>12</v>
      </c>
      <c r="C3" t="s">
        <v>20</v>
      </c>
      <c r="D3">
        <f>SUM(
  INDEX(
    'Line downtime'!$C$3:$N$40,
    ,
    MATCH(A3,'Line downtime'!$C$2:$N$2,0)
  )
)</f>
        <v>254</v>
      </c>
      <c r="E3" s="9">
        <f>SUM($D$2:D3)/SUM($D$2:$D$13)</f>
        <v>0.42219020172910665</v>
      </c>
    </row>
    <row r="4" spans="1:5" x14ac:dyDescent="0.25">
      <c r="A4">
        <v>4</v>
      </c>
      <c r="B4" t="s">
        <v>14</v>
      </c>
      <c r="C4" t="s">
        <v>20</v>
      </c>
      <c r="D4">
        <f>SUM(
  INDEX(
    'Line downtime'!$C$3:$N$40,
    ,
    MATCH(A4,'Line downtime'!$C$2:$N$2,0)
  )
)</f>
        <v>225</v>
      </c>
      <c r="E4" s="9">
        <f>SUM($D$2:D4)/SUM($D$2:$D$13)</f>
        <v>0.58429394812680113</v>
      </c>
    </row>
    <row r="5" spans="1:5" x14ac:dyDescent="0.25">
      <c r="A5">
        <v>2</v>
      </c>
      <c r="B5" t="s">
        <v>8</v>
      </c>
      <c r="C5" t="s">
        <v>21</v>
      </c>
      <c r="D5">
        <f>SUM(
  INDEX(
    'Line downtime'!$C$3:$N$40,
    ,
    MATCH(A5,'Line downtime'!$C$2:$N$2,0)
  )
)</f>
        <v>160</v>
      </c>
      <c r="E5" s="9">
        <f>SUM($D$2:D5)/SUM($D$2:$D$13)</f>
        <v>0.69956772334293948</v>
      </c>
    </row>
    <row r="6" spans="1:5" x14ac:dyDescent="0.25">
      <c r="A6">
        <v>8</v>
      </c>
      <c r="B6" t="s">
        <v>13</v>
      </c>
      <c r="C6" t="s">
        <v>21</v>
      </c>
      <c r="D6">
        <f>SUM(
  INDEX(
    'Line downtime'!$C$3:$N$40,
    ,
    MATCH(A6,'Line downtime'!$C$2:$N$2,0)
  )
)</f>
        <v>145</v>
      </c>
      <c r="E6" s="9">
        <f>SUM($D$2:D6)/SUM($D$2:$D$13)</f>
        <v>0.80403458213256485</v>
      </c>
    </row>
    <row r="7" spans="1:5" x14ac:dyDescent="0.25">
      <c r="A7">
        <v>12</v>
      </c>
      <c r="B7" t="s">
        <v>16</v>
      </c>
      <c r="C7" t="s">
        <v>20</v>
      </c>
      <c r="D7">
        <f>SUM(
  INDEX(
    'Line downtime'!$C$3:$N$40,
    ,
    MATCH(A7,'Line downtime'!$C$2:$N$2,0)
  )
)</f>
        <v>74</v>
      </c>
      <c r="E7" s="9">
        <f>SUM($D$2:D7)/SUM($D$2:$D$13)</f>
        <v>0.85734870317002887</v>
      </c>
    </row>
    <row r="8" spans="1:5" x14ac:dyDescent="0.25">
      <c r="A8">
        <v>5</v>
      </c>
      <c r="B8" t="s">
        <v>10</v>
      </c>
      <c r="C8" t="s">
        <v>21</v>
      </c>
      <c r="D8">
        <f>SUM(
  INDEX(
    'Line downtime'!$C$3:$N$40,
    ,
    MATCH(A8,'Line downtime'!$C$2:$N$2,0)
  )
)</f>
        <v>57</v>
      </c>
      <c r="E8" s="9">
        <f>SUM($D$2:D8)/SUM($D$2:$D$13)</f>
        <v>0.89841498559077815</v>
      </c>
    </row>
    <row r="9" spans="1:5" x14ac:dyDescent="0.25">
      <c r="A9">
        <v>10</v>
      </c>
      <c r="B9" t="s">
        <v>18</v>
      </c>
      <c r="C9" t="s">
        <v>21</v>
      </c>
      <c r="D9">
        <f>SUM(
  INDEX(
    'Line downtime'!$C$3:$N$40,
    ,
    MATCH(A9,'Line downtime'!$C$2:$N$2,0)
  )
)</f>
        <v>49</v>
      </c>
      <c r="E9" s="9">
        <f>SUM($D$2:D9)/SUM($D$2:$D$13)</f>
        <v>0.93371757925072041</v>
      </c>
    </row>
    <row r="10" spans="1:5" x14ac:dyDescent="0.25">
      <c r="A10">
        <v>3</v>
      </c>
      <c r="B10" t="s">
        <v>19</v>
      </c>
      <c r="C10" t="s">
        <v>20</v>
      </c>
      <c r="D10">
        <f>SUM(
  INDEX(
    'Line downtime'!$C$3:$N$40,
    ,
    MATCH(A10,'Line downtime'!$C$2:$N$2,0)
  )
)</f>
        <v>42</v>
      </c>
      <c r="E10" s="9">
        <f>SUM($D$2:D10)/SUM($D$2:$D$13)</f>
        <v>0.96397694524495681</v>
      </c>
    </row>
    <row r="11" spans="1:5" x14ac:dyDescent="0.25">
      <c r="A11">
        <v>11</v>
      </c>
      <c r="B11" t="s">
        <v>11</v>
      </c>
      <c r="C11" t="s">
        <v>21</v>
      </c>
      <c r="D11">
        <f>SUM(
  INDEX(
    'Line downtime'!$C$3:$N$40,
    ,
    MATCH(A11,'Line downtime'!$C$2:$N$2,0)
  )
)</f>
        <v>33</v>
      </c>
      <c r="E11" s="9">
        <f>SUM($D$2:D11)/SUM($D$2:$D$13)</f>
        <v>0.98775216138328525</v>
      </c>
    </row>
    <row r="12" spans="1:5" x14ac:dyDescent="0.25">
      <c r="A12">
        <v>9</v>
      </c>
      <c r="B12" t="s">
        <v>15</v>
      </c>
      <c r="C12" t="s">
        <v>20</v>
      </c>
      <c r="D12">
        <f>SUM(
  INDEX(
    'Line downtime'!$C$3:$N$40,
    ,
    MATCH(A12,'Line downtime'!$C$2:$N$2,0)
  )
)</f>
        <v>17</v>
      </c>
      <c r="E12" s="9">
        <f>SUM($D$2:D12)/SUM($D$2:$D$13)</f>
        <v>1</v>
      </c>
    </row>
    <row r="13" spans="1:5" x14ac:dyDescent="0.25">
      <c r="A13">
        <v>1</v>
      </c>
      <c r="B13" t="s">
        <v>17</v>
      </c>
      <c r="C13" t="s">
        <v>20</v>
      </c>
      <c r="D13">
        <f>SUM(
  INDEX(
    'Line downtime'!$C$3:$N$40,
    ,
    MATCH(A13,'Line downtime'!$C$2:$N$2,0)
  )
)</f>
        <v>0</v>
      </c>
      <c r="E13" s="9">
        <f>SUM($D$2:D13)/SUM($D$2:$D$13)</f>
        <v>1</v>
      </c>
    </row>
  </sheetData>
  <autoFilter ref="A1:E13" xr:uid="{4EB7156D-DBB5-4EA9-A733-8897AD1035D5}">
    <sortState xmlns:xlrd2="http://schemas.microsoft.com/office/spreadsheetml/2017/richdata2" ref="A2:E13">
      <sortCondition descending="1" ref="D1:D13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03E6B-C648-491E-9E5D-F67501FDD632}">
  <dimension ref="A1:N40"/>
  <sheetViews>
    <sheetView workbookViewId="0">
      <selection activeCell="J48" sqref="J48"/>
    </sheetView>
  </sheetViews>
  <sheetFormatPr defaultRowHeight="15" x14ac:dyDescent="0.25"/>
  <cols>
    <col min="1" max="2" width="8.85546875" customWidth="1"/>
    <col min="3" max="14" width="5.5703125" customWidth="1"/>
  </cols>
  <sheetData>
    <row r="1" spans="1:14" x14ac:dyDescent="0.25">
      <c r="C1" s="4" t="s">
        <v>23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2" t="s">
        <v>2</v>
      </c>
      <c r="B2" s="2" t="s">
        <v>50</v>
      </c>
      <c r="C2" s="2">
        <v>1</v>
      </c>
      <c r="D2" s="2">
        <v>2</v>
      </c>
      <c r="E2" s="2">
        <v>3</v>
      </c>
      <c r="F2" s="2">
        <v>4</v>
      </c>
      <c r="G2" s="2">
        <v>5</v>
      </c>
      <c r="H2" s="2">
        <v>6</v>
      </c>
      <c r="I2" s="2">
        <v>7</v>
      </c>
      <c r="J2" s="2">
        <v>8</v>
      </c>
      <c r="K2" s="2">
        <v>9</v>
      </c>
      <c r="L2" s="2">
        <v>10</v>
      </c>
      <c r="M2" s="2">
        <v>11</v>
      </c>
      <c r="N2" s="2">
        <v>12</v>
      </c>
    </row>
    <row r="3" spans="1:14" x14ac:dyDescent="0.25">
      <c r="A3">
        <v>422111</v>
      </c>
      <c r="B3" t="str">
        <f>VLOOKUP(A3,'Line productivity'!$C$1:$D$39,2,0)</f>
        <v>Mac</v>
      </c>
      <c r="D3">
        <v>60</v>
      </c>
      <c r="I3">
        <v>15</v>
      </c>
    </row>
    <row r="4" spans="1:14" x14ac:dyDescent="0.25">
      <c r="A4">
        <v>422112</v>
      </c>
      <c r="B4" t="str">
        <f>VLOOKUP(A4,'Line productivity'!$C$1:$D$39,2,0)</f>
        <v>Mac</v>
      </c>
      <c r="D4">
        <v>20</v>
      </c>
      <c r="J4">
        <v>20</v>
      </c>
    </row>
    <row r="5" spans="1:14" x14ac:dyDescent="0.25">
      <c r="A5">
        <v>422113</v>
      </c>
      <c r="B5" t="str">
        <f>VLOOKUP(A5,'Line productivity'!$C$1:$D$39,2,0)</f>
        <v>Mac</v>
      </c>
      <c r="D5">
        <v>50</v>
      </c>
    </row>
    <row r="6" spans="1:14" x14ac:dyDescent="0.25">
      <c r="A6">
        <v>422114</v>
      </c>
      <c r="B6" t="str">
        <f>VLOOKUP(A6,'Line productivity'!$C$1:$D$39,2,0)</f>
        <v>Mac</v>
      </c>
      <c r="F6">
        <v>25</v>
      </c>
      <c r="H6">
        <v>15</v>
      </c>
    </row>
    <row r="7" spans="1:14" x14ac:dyDescent="0.25">
      <c r="A7">
        <v>422115</v>
      </c>
      <c r="B7" t="str">
        <f>VLOOKUP(A7,'Line productivity'!$C$1:$D$39,2,0)</f>
        <v>Charlie</v>
      </c>
      <c r="L7">
        <v>24</v>
      </c>
    </row>
    <row r="8" spans="1:14" x14ac:dyDescent="0.25">
      <c r="A8">
        <v>422116</v>
      </c>
      <c r="B8" t="str">
        <f>VLOOKUP(A8,'Line productivity'!$C$1:$D$39,2,0)</f>
        <v>Charlie</v>
      </c>
    </row>
    <row r="9" spans="1:14" x14ac:dyDescent="0.25">
      <c r="A9">
        <v>422117</v>
      </c>
      <c r="B9" t="str">
        <f>VLOOKUP(A9,'Line productivity'!$C$1:$D$39,2,0)</f>
        <v>Charlie</v>
      </c>
      <c r="D9">
        <v>10</v>
      </c>
      <c r="H9">
        <v>5</v>
      </c>
    </row>
    <row r="10" spans="1:14" x14ac:dyDescent="0.25">
      <c r="A10">
        <v>422118</v>
      </c>
      <c r="B10" t="str">
        <f>VLOOKUP(A10,'Line productivity'!$C$1:$D$39,2,0)</f>
        <v>Dee</v>
      </c>
      <c r="H10">
        <v>14</v>
      </c>
      <c r="I10">
        <v>16</v>
      </c>
      <c r="M10">
        <v>10</v>
      </c>
      <c r="N10">
        <v>20</v>
      </c>
    </row>
    <row r="11" spans="1:14" x14ac:dyDescent="0.25">
      <c r="A11">
        <v>422119</v>
      </c>
      <c r="B11" t="str">
        <f>VLOOKUP(A11,'Line productivity'!$C$1:$D$39,2,0)</f>
        <v>Dee</v>
      </c>
      <c r="F11">
        <v>25</v>
      </c>
    </row>
    <row r="12" spans="1:14" x14ac:dyDescent="0.25">
      <c r="A12">
        <v>422120</v>
      </c>
      <c r="B12" t="str">
        <f>VLOOKUP(A12,'Line productivity'!$C$1:$D$39,2,0)</f>
        <v>Dee</v>
      </c>
      <c r="F12">
        <v>20</v>
      </c>
      <c r="G12">
        <v>15</v>
      </c>
      <c r="K12">
        <v>17</v>
      </c>
    </row>
    <row r="13" spans="1:14" x14ac:dyDescent="0.25">
      <c r="A13">
        <v>422121</v>
      </c>
      <c r="B13" t="str">
        <f>VLOOKUP(A13,'Line productivity'!$C$1:$D$39,2,0)</f>
        <v>Dennis</v>
      </c>
      <c r="I13">
        <v>15</v>
      </c>
    </row>
    <row r="14" spans="1:14" x14ac:dyDescent="0.25">
      <c r="A14">
        <v>422122</v>
      </c>
      <c r="B14" t="str">
        <f>VLOOKUP(A14,'Line productivity'!$C$1:$D$39,2,0)</f>
        <v>Dennis</v>
      </c>
      <c r="I14">
        <v>25</v>
      </c>
    </row>
    <row r="15" spans="1:14" x14ac:dyDescent="0.25">
      <c r="A15">
        <v>422123</v>
      </c>
      <c r="B15" t="str">
        <f>VLOOKUP(A15,'Line productivity'!$C$1:$D$39,2,0)</f>
        <v>Dennis</v>
      </c>
      <c r="F15">
        <v>43</v>
      </c>
      <c r="I15">
        <v>30</v>
      </c>
    </row>
    <row r="16" spans="1:14" x14ac:dyDescent="0.25">
      <c r="A16">
        <v>422124</v>
      </c>
      <c r="B16" t="str">
        <f>VLOOKUP(A16,'Line productivity'!$C$1:$D$39,2,0)</f>
        <v>Dennis</v>
      </c>
      <c r="G16">
        <v>20</v>
      </c>
      <c r="H16">
        <v>20</v>
      </c>
    </row>
    <row r="17" spans="1:14" x14ac:dyDescent="0.25">
      <c r="A17">
        <v>422125</v>
      </c>
      <c r="B17" t="str">
        <f>VLOOKUP(A17,'Line productivity'!$C$1:$D$39,2,0)</f>
        <v>Charlie</v>
      </c>
      <c r="M17">
        <v>10</v>
      </c>
      <c r="N17">
        <v>10</v>
      </c>
    </row>
    <row r="18" spans="1:14" x14ac:dyDescent="0.25">
      <c r="A18">
        <v>422126</v>
      </c>
      <c r="B18" t="str">
        <f>VLOOKUP(A18,'Line productivity'!$C$1:$D$39,2,0)</f>
        <v>Charlie</v>
      </c>
      <c r="J18">
        <v>44</v>
      </c>
    </row>
    <row r="19" spans="1:14" x14ac:dyDescent="0.25">
      <c r="A19">
        <v>422127</v>
      </c>
      <c r="B19" t="str">
        <f>VLOOKUP(A19,'Line productivity'!$C$1:$D$39,2,0)</f>
        <v>Charlie</v>
      </c>
      <c r="H19">
        <v>23</v>
      </c>
    </row>
    <row r="20" spans="1:14" x14ac:dyDescent="0.25">
      <c r="A20">
        <v>422128</v>
      </c>
      <c r="B20" t="str">
        <f>VLOOKUP(A20,'Line productivity'!$C$1:$D$39,2,0)</f>
        <v>Charlie</v>
      </c>
      <c r="G20">
        <v>22</v>
      </c>
      <c r="I20">
        <v>30</v>
      </c>
    </row>
    <row r="21" spans="1:14" x14ac:dyDescent="0.25">
      <c r="A21">
        <v>422129</v>
      </c>
      <c r="B21" t="str">
        <f>VLOOKUP(A21,'Line productivity'!$C$1:$D$39,2,0)</f>
        <v>Charlie</v>
      </c>
      <c r="N21">
        <v>15</v>
      </c>
    </row>
    <row r="22" spans="1:14" x14ac:dyDescent="0.25">
      <c r="A22">
        <v>422130</v>
      </c>
      <c r="B22" t="str">
        <f>VLOOKUP(A22,'Line productivity'!$C$1:$D$39,2,0)</f>
        <v>Dee</v>
      </c>
      <c r="D22">
        <v>20</v>
      </c>
    </row>
    <row r="23" spans="1:14" x14ac:dyDescent="0.25">
      <c r="A23">
        <v>422131</v>
      </c>
      <c r="B23" t="str">
        <f>VLOOKUP(A23,'Line productivity'!$C$1:$D$39,2,0)</f>
        <v>Dee</v>
      </c>
      <c r="F23">
        <v>20</v>
      </c>
      <c r="L23">
        <v>10</v>
      </c>
    </row>
    <row r="24" spans="1:14" x14ac:dyDescent="0.25">
      <c r="A24">
        <v>422132</v>
      </c>
      <c r="B24" t="str">
        <f>VLOOKUP(A24,'Line productivity'!$C$1:$D$39,2,0)</f>
        <v>Dee</v>
      </c>
    </row>
    <row r="25" spans="1:14" x14ac:dyDescent="0.25">
      <c r="A25">
        <v>422133</v>
      </c>
      <c r="B25" t="str">
        <f>VLOOKUP(A25,'Line productivity'!$C$1:$D$39,2,0)</f>
        <v>Dee</v>
      </c>
      <c r="I25">
        <v>20</v>
      </c>
    </row>
    <row r="26" spans="1:14" x14ac:dyDescent="0.25">
      <c r="A26">
        <v>422134</v>
      </c>
      <c r="B26" t="str">
        <f>VLOOKUP(A26,'Line productivity'!$C$1:$D$39,2,0)</f>
        <v>Mac</v>
      </c>
      <c r="I26">
        <v>30</v>
      </c>
      <c r="J26">
        <v>20</v>
      </c>
    </row>
    <row r="27" spans="1:14" x14ac:dyDescent="0.25">
      <c r="A27">
        <v>422135</v>
      </c>
      <c r="B27" t="str">
        <f>VLOOKUP(A27,'Line productivity'!$C$1:$D$39,2,0)</f>
        <v>Mac</v>
      </c>
      <c r="F27">
        <v>30</v>
      </c>
      <c r="N27">
        <v>15</v>
      </c>
    </row>
    <row r="28" spans="1:14" x14ac:dyDescent="0.25">
      <c r="A28">
        <v>422136</v>
      </c>
      <c r="B28" t="str">
        <f>VLOOKUP(A28,'Line productivity'!$C$1:$D$39,2,0)</f>
        <v>Mac</v>
      </c>
    </row>
    <row r="29" spans="1:14" x14ac:dyDescent="0.25">
      <c r="A29">
        <v>422137</v>
      </c>
      <c r="B29" t="str">
        <f>VLOOKUP(A29,'Line productivity'!$C$1:$D$39,2,0)</f>
        <v>Dee</v>
      </c>
      <c r="J29">
        <v>30</v>
      </c>
      <c r="L29">
        <v>15</v>
      </c>
    </row>
    <row r="30" spans="1:14" x14ac:dyDescent="0.25">
      <c r="A30">
        <v>422138</v>
      </c>
      <c r="B30" t="str">
        <f>VLOOKUP(A30,'Line productivity'!$C$1:$D$39,2,0)</f>
        <v>Dee</v>
      </c>
      <c r="E30">
        <v>20</v>
      </c>
    </row>
    <row r="31" spans="1:14" x14ac:dyDescent="0.25">
      <c r="A31">
        <v>422139</v>
      </c>
      <c r="B31" t="str">
        <f>VLOOKUP(A31,'Line productivity'!$C$1:$D$39,2,0)</f>
        <v>Dee</v>
      </c>
      <c r="F31">
        <v>20</v>
      </c>
      <c r="H31">
        <v>15</v>
      </c>
    </row>
    <row r="32" spans="1:14" x14ac:dyDescent="0.25">
      <c r="A32">
        <v>422140</v>
      </c>
      <c r="B32" t="str">
        <f>VLOOKUP(A32,'Line productivity'!$C$1:$D$39,2,0)</f>
        <v>Dee</v>
      </c>
      <c r="H32">
        <v>50</v>
      </c>
      <c r="M32">
        <v>13</v>
      </c>
    </row>
    <row r="33" spans="1:14" x14ac:dyDescent="0.25">
      <c r="A33">
        <v>422141</v>
      </c>
      <c r="B33" t="str">
        <f>VLOOKUP(A33,'Line productivity'!$C$1:$D$39,2,0)</f>
        <v>Dennis</v>
      </c>
      <c r="N33">
        <v>7</v>
      </c>
    </row>
    <row r="34" spans="1:14" x14ac:dyDescent="0.25">
      <c r="A34">
        <v>422142</v>
      </c>
      <c r="B34" t="str">
        <f>VLOOKUP(A34,'Line productivity'!$C$1:$D$39,2,0)</f>
        <v>Dennis</v>
      </c>
      <c r="H34">
        <v>30</v>
      </c>
    </row>
    <row r="35" spans="1:14" x14ac:dyDescent="0.25">
      <c r="A35">
        <v>422143</v>
      </c>
      <c r="B35" t="str">
        <f>VLOOKUP(A35,'Line productivity'!$C$1:$D$39,2,0)</f>
        <v>Dennis</v>
      </c>
      <c r="H35">
        <v>40</v>
      </c>
      <c r="I35">
        <v>18</v>
      </c>
    </row>
    <row r="36" spans="1:14" x14ac:dyDescent="0.25">
      <c r="A36">
        <v>422144</v>
      </c>
      <c r="B36" t="str">
        <f>VLOOKUP(A36,'Line productivity'!$C$1:$D$39,2,0)</f>
        <v>Dennis</v>
      </c>
      <c r="H36">
        <v>30</v>
      </c>
      <c r="J36">
        <v>24</v>
      </c>
    </row>
    <row r="37" spans="1:14" x14ac:dyDescent="0.25">
      <c r="A37">
        <v>422145</v>
      </c>
      <c r="B37" t="str">
        <f>VLOOKUP(A37,'Line productivity'!$C$1:$D$39,2,0)</f>
        <v>Charlie</v>
      </c>
      <c r="E37">
        <v>22</v>
      </c>
    </row>
    <row r="38" spans="1:14" x14ac:dyDescent="0.25">
      <c r="A38">
        <v>422146</v>
      </c>
      <c r="B38" t="str">
        <f>VLOOKUP(A38,'Line productivity'!$C$1:$D$39,2,0)</f>
        <v>Charlie</v>
      </c>
      <c r="H38">
        <v>30</v>
      </c>
      <c r="I38">
        <v>25</v>
      </c>
      <c r="N38">
        <v>7</v>
      </c>
    </row>
    <row r="39" spans="1:14" x14ac:dyDescent="0.25">
      <c r="A39">
        <v>422147</v>
      </c>
      <c r="B39" t="str">
        <f>VLOOKUP(A39,'Line productivity'!$C$1:$D$39,2,0)</f>
        <v>Charlie</v>
      </c>
      <c r="F39">
        <v>17</v>
      </c>
      <c r="H39">
        <v>60</v>
      </c>
      <c r="I39">
        <v>30</v>
      </c>
    </row>
    <row r="40" spans="1:14" x14ac:dyDescent="0.25">
      <c r="A40">
        <v>422148</v>
      </c>
      <c r="B40" t="str">
        <f>VLOOKUP(A40,'Line productivity'!$C$1:$D$39,2,0)</f>
        <v>Mac</v>
      </c>
      <c r="F40">
        <v>25</v>
      </c>
      <c r="J40">
        <v>7</v>
      </c>
    </row>
  </sheetData>
  <mergeCells count="1">
    <mergeCell ref="C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Line productivity</vt:lpstr>
      <vt:lpstr>Dashboard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Ruiz</dc:creator>
  <cp:lastModifiedBy>Anjana V</cp:lastModifiedBy>
  <dcterms:created xsi:type="dcterms:W3CDTF">2024-08-19T19:52:48Z</dcterms:created>
  <dcterms:modified xsi:type="dcterms:W3CDTF">2026-01-13T08:04:15Z</dcterms:modified>
</cp:coreProperties>
</file>